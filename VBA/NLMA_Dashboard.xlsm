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slicers/slicer1.xml" ContentType="application/vnd.ms-excel.slicer+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slicers/slicer2.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https://d.docs.live.net/6af36168b4dedf2f/nlma_fees_management/"/>
    </mc:Choice>
  </mc:AlternateContent>
  <xr:revisionPtr revIDLastSave="83" documentId="13_ncr:1_{2BD56992-FD0A-4DD8-8B49-269D347B2B31}" xr6:coauthVersionLast="44" xr6:coauthVersionMax="44" xr10:uidLastSave="{B8033519-97F5-41CA-B51B-3F75DDEFC345}"/>
  <bookViews>
    <workbookView xWindow="-110" yWindow="-110" windowWidth="19420" windowHeight="10300" xr2:uid="{C7D6B3E0-14BC-4700-95B5-F4D9D494585C}"/>
  </bookViews>
  <sheets>
    <sheet name="Dashboard" sheetId="7" r:id="rId1"/>
    <sheet name="Town_Edu Dashboard" sheetId="3" r:id="rId2"/>
    <sheet name="FinalAnalysis" sheetId="6" r:id="rId3"/>
    <sheet name="Sheet1" sheetId="8" r:id="rId4"/>
    <sheet name="Sheet3" sheetId="10" r:id="rId5"/>
  </sheets>
  <definedNames>
    <definedName name="Classwise_Report">#REF!</definedName>
    <definedName name="Consolidated_Classwise_Report">#REF!</definedName>
    <definedName name="Slicer_Academic_Year2">#N/A</definedName>
  </definedNames>
  <calcPr calcId="191029"/>
  <pivotCaches>
    <pivotCache cacheId="6"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80" i="8" l="1"/>
  <c r="F80" i="8"/>
  <c r="D80" i="8"/>
  <c r="D67" i="8"/>
  <c r="B80" i="8"/>
  <c r="K80" i="8" l="1"/>
  <c r="H75" i="8"/>
  <c r="H73" i="8"/>
  <c r="D72" i="8"/>
  <c r="I70" i="8"/>
  <c r="I71" i="8"/>
  <c r="I72" i="8"/>
  <c r="I73" i="8"/>
  <c r="I74" i="8"/>
  <c r="I75" i="8"/>
  <c r="I76" i="8"/>
  <c r="I77" i="8"/>
  <c r="I78" i="8"/>
  <c r="I79" i="8"/>
  <c r="I67" i="8"/>
  <c r="I68" i="8"/>
  <c r="F70" i="8"/>
  <c r="F71" i="8"/>
  <c r="F72" i="8"/>
  <c r="F73" i="8"/>
  <c r="F74" i="8"/>
  <c r="F75" i="8"/>
  <c r="F76" i="8"/>
  <c r="F77" i="8"/>
  <c r="F78" i="8"/>
  <c r="F67" i="8"/>
  <c r="D69" i="8"/>
  <c r="D70" i="8"/>
  <c r="D71" i="8"/>
  <c r="D73" i="8"/>
  <c r="D74" i="8"/>
  <c r="D75" i="8"/>
  <c r="D76" i="8"/>
  <c r="D77" i="8"/>
  <c r="D78" i="8"/>
  <c r="D79" i="8"/>
  <c r="D68" i="8"/>
  <c r="J68" i="8" s="1"/>
  <c r="H69" i="8"/>
  <c r="I69" i="8" s="1"/>
  <c r="C69" i="8"/>
  <c r="F69" i="8" s="1"/>
  <c r="J59" i="8"/>
  <c r="G59" i="8"/>
  <c r="F57" i="8"/>
  <c r="H57" i="8" s="1"/>
  <c r="K57" i="8" s="1"/>
  <c r="E58" i="8"/>
  <c r="E57" i="8"/>
  <c r="E56" i="8"/>
  <c r="E55" i="8"/>
  <c r="E54" i="8"/>
  <c r="E53" i="8"/>
  <c r="E52" i="8"/>
  <c r="E51" i="8"/>
  <c r="E50" i="8"/>
  <c r="E49" i="8"/>
  <c r="E48" i="8"/>
  <c r="E47" i="8"/>
  <c r="E59" i="8" s="1"/>
  <c r="D47" i="8"/>
  <c r="F47" i="8" s="1"/>
  <c r="H47" i="8" s="1"/>
  <c r="K47" i="8" s="1"/>
  <c r="D48" i="8"/>
  <c r="F48" i="8" s="1"/>
  <c r="H48" i="8" s="1"/>
  <c r="K48" i="8" s="1"/>
  <c r="D49" i="8"/>
  <c r="F49" i="8" s="1"/>
  <c r="H49" i="8" s="1"/>
  <c r="K49" i="8" s="1"/>
  <c r="D50" i="8"/>
  <c r="F50" i="8" s="1"/>
  <c r="H50" i="8" s="1"/>
  <c r="K50" i="8" s="1"/>
  <c r="D51" i="8"/>
  <c r="F51" i="8" s="1"/>
  <c r="H51" i="8" s="1"/>
  <c r="K51" i="8" s="1"/>
  <c r="D52" i="8"/>
  <c r="F52" i="8" s="1"/>
  <c r="H52" i="8" s="1"/>
  <c r="K52" i="8" s="1"/>
  <c r="D53" i="8"/>
  <c r="F53" i="8" s="1"/>
  <c r="H53" i="8" s="1"/>
  <c r="K53" i="8" s="1"/>
  <c r="D54" i="8"/>
  <c r="F54" i="8" s="1"/>
  <c r="H54" i="8" s="1"/>
  <c r="K54" i="8" s="1"/>
  <c r="D55" i="8"/>
  <c r="F55" i="8" s="1"/>
  <c r="H55" i="8" s="1"/>
  <c r="K55" i="8" s="1"/>
  <c r="D56" i="8"/>
  <c r="F56" i="8" s="1"/>
  <c r="H56" i="8" s="1"/>
  <c r="K56" i="8" s="1"/>
  <c r="D57" i="8"/>
  <c r="D58" i="8"/>
  <c r="F58" i="8" s="1"/>
  <c r="H58" i="8" s="1"/>
  <c r="K58" i="8" s="1"/>
  <c r="D59" i="8"/>
  <c r="D46" i="8"/>
  <c r="F46" i="8" s="1"/>
  <c r="H46" i="8" s="1"/>
  <c r="K46" i="8" s="1"/>
  <c r="E34" i="8"/>
  <c r="E33" i="8"/>
  <c r="E35" i="8"/>
  <c r="E36" i="8"/>
  <c r="E37" i="8"/>
  <c r="E38" i="8"/>
  <c r="E39" i="8"/>
  <c r="E32" i="8"/>
  <c r="E31" i="8"/>
  <c r="E29" i="8"/>
  <c r="E28" i="8"/>
  <c r="E30" i="8"/>
  <c r="F59" i="8" l="1"/>
  <c r="H59" i="8" s="1"/>
  <c r="K59" i="8" s="1"/>
  <c r="J78" i="8"/>
  <c r="J76" i="8"/>
  <c r="J75" i="8"/>
  <c r="J74" i="8"/>
  <c r="J73" i="8"/>
  <c r="J71" i="8"/>
  <c r="J79" i="8"/>
  <c r="J77" i="8"/>
  <c r="J72" i="8"/>
  <c r="J70" i="8"/>
  <c r="J67" i="8"/>
  <c r="J80" i="8" s="1"/>
  <c r="J69" i="8"/>
  <c r="C271" i="6"/>
  <c r="B271" i="6"/>
  <c r="C32" i="3" l="1"/>
  <c r="C33" i="3"/>
  <c r="C34" i="3"/>
  <c r="C35" i="3"/>
  <c r="C36" i="3"/>
  <c r="C37" i="3"/>
  <c r="C38" i="3"/>
  <c r="C39" i="3"/>
  <c r="C40" i="3"/>
  <c r="C41" i="3"/>
  <c r="B33" i="3"/>
  <c r="B34" i="3"/>
  <c r="B35" i="3"/>
  <c r="B36" i="3"/>
  <c r="B37" i="3"/>
  <c r="B38" i="3"/>
  <c r="B39" i="3"/>
  <c r="B40" i="3"/>
  <c r="B41" i="3"/>
  <c r="B32" i="3"/>
  <c r="G40" i="3"/>
  <c r="G41" i="3"/>
  <c r="G42" i="3"/>
  <c r="G43" i="3"/>
  <c r="G44" i="3"/>
  <c r="F41" i="3"/>
  <c r="F42" i="3"/>
  <c r="F43" i="3"/>
  <c r="F44" i="3"/>
  <c r="F40" i="3"/>
  <c r="G32" i="3"/>
  <c r="G33" i="3"/>
  <c r="G34" i="3"/>
  <c r="G35" i="3"/>
  <c r="G36" i="3"/>
  <c r="F33" i="3"/>
  <c r="F34" i="3"/>
  <c r="F35" i="3"/>
  <c r="F36" i="3"/>
  <c r="F32" i="3"/>
  <c r="E35" i="7"/>
  <c r="F35" i="7"/>
  <c r="G35" i="7"/>
  <c r="E36" i="7"/>
  <c r="F36" i="7"/>
  <c r="G36" i="7"/>
  <c r="E37" i="7"/>
  <c r="F37" i="7"/>
  <c r="G37" i="7"/>
  <c r="E38" i="7"/>
  <c r="F38" i="7"/>
  <c r="G38" i="7"/>
  <c r="E39" i="7"/>
  <c r="F39" i="7"/>
  <c r="G39" i="7"/>
  <c r="F34" i="7"/>
  <c r="G34" i="7"/>
  <c r="E34" i="7"/>
  <c r="E144" i="7"/>
  <c r="F144" i="7"/>
  <c r="G144" i="7"/>
  <c r="E145" i="7"/>
  <c r="F145" i="7"/>
  <c r="G145" i="7"/>
  <c r="E146" i="7"/>
  <c r="F146" i="7"/>
  <c r="G146" i="7"/>
  <c r="E147" i="7"/>
  <c r="F147" i="7"/>
  <c r="G147" i="7"/>
  <c r="E148" i="7"/>
  <c r="F148" i="7"/>
  <c r="G148" i="7"/>
  <c r="F143" i="7"/>
  <c r="G143" i="7"/>
  <c r="E143" i="7"/>
  <c r="W115" i="7"/>
  <c r="X115" i="7"/>
  <c r="W116" i="7"/>
  <c r="X116" i="7"/>
  <c r="W117" i="7"/>
  <c r="X117" i="7"/>
  <c r="W118" i="7"/>
  <c r="X118" i="7"/>
  <c r="W119" i="7"/>
  <c r="X119" i="7"/>
  <c r="W120" i="7"/>
  <c r="X120" i="7"/>
  <c r="V116" i="7"/>
  <c r="V117" i="7"/>
  <c r="V118" i="7"/>
  <c r="V119" i="7"/>
  <c r="V120" i="7"/>
  <c r="V115" i="7"/>
  <c r="N115" i="7"/>
  <c r="O115" i="7"/>
  <c r="N116" i="7"/>
  <c r="O116" i="7"/>
  <c r="N117" i="7"/>
  <c r="O117" i="7"/>
  <c r="N118" i="7"/>
  <c r="O118" i="7"/>
  <c r="N119" i="7"/>
  <c r="O119" i="7"/>
  <c r="N120" i="7"/>
  <c r="O120" i="7"/>
  <c r="M116" i="7"/>
  <c r="M117" i="7"/>
  <c r="M118" i="7"/>
  <c r="M119" i="7"/>
  <c r="M120" i="7"/>
  <c r="M115" i="7"/>
  <c r="F115" i="7"/>
  <c r="G115" i="7"/>
  <c r="F116" i="7"/>
  <c r="G116" i="7"/>
  <c r="F117" i="7"/>
  <c r="G117" i="7"/>
  <c r="F118" i="7"/>
  <c r="G118" i="7"/>
  <c r="F119" i="7"/>
  <c r="G119" i="7"/>
  <c r="F120" i="7"/>
  <c r="G120" i="7"/>
  <c r="E116" i="7"/>
  <c r="E117" i="7"/>
  <c r="E118" i="7"/>
  <c r="E119" i="7"/>
  <c r="E120" i="7"/>
  <c r="E115" i="7"/>
  <c r="V89" i="7"/>
  <c r="W89" i="7"/>
  <c r="X89" i="7"/>
  <c r="V90" i="7"/>
  <c r="W90" i="7"/>
  <c r="X90" i="7"/>
  <c r="V91" i="7"/>
  <c r="W91" i="7"/>
  <c r="X91" i="7"/>
  <c r="V92" i="7"/>
  <c r="W92" i="7"/>
  <c r="X92" i="7"/>
  <c r="V93" i="7"/>
  <c r="W93" i="7"/>
  <c r="X93" i="7"/>
  <c r="W88" i="7"/>
  <c r="X88" i="7"/>
  <c r="V88" i="7"/>
  <c r="M89" i="7"/>
  <c r="N89" i="7"/>
  <c r="O89" i="7"/>
  <c r="M90" i="7"/>
  <c r="N90" i="7"/>
  <c r="O90" i="7"/>
  <c r="M91" i="7"/>
  <c r="N91" i="7"/>
  <c r="O91" i="7"/>
  <c r="M92" i="7"/>
  <c r="N92" i="7"/>
  <c r="O92" i="7"/>
  <c r="M93" i="7"/>
  <c r="N93" i="7"/>
  <c r="O93" i="7"/>
  <c r="N88" i="7"/>
  <c r="O88" i="7"/>
  <c r="M88" i="7"/>
  <c r="F88" i="7"/>
  <c r="G88" i="7"/>
  <c r="F89" i="7"/>
  <c r="G89" i="7"/>
  <c r="F90" i="7"/>
  <c r="G90" i="7"/>
  <c r="F91" i="7"/>
  <c r="G91" i="7"/>
  <c r="F92" i="7"/>
  <c r="G92" i="7"/>
  <c r="F93" i="7"/>
  <c r="G93" i="7"/>
  <c r="E89" i="7"/>
  <c r="E90" i="7"/>
  <c r="E91" i="7"/>
  <c r="E92" i="7"/>
  <c r="E93" i="7"/>
  <c r="E88" i="7"/>
  <c r="V62" i="7"/>
  <c r="W62" i="7"/>
  <c r="X62" i="7"/>
  <c r="V63" i="7"/>
  <c r="W63" i="7"/>
  <c r="X63" i="7"/>
  <c r="V64" i="7"/>
  <c r="W64" i="7"/>
  <c r="X64" i="7"/>
  <c r="V65" i="7"/>
  <c r="W65" i="7"/>
  <c r="X65" i="7"/>
  <c r="V66" i="7"/>
  <c r="W66" i="7"/>
  <c r="X66" i="7"/>
  <c r="W61" i="7"/>
  <c r="X61" i="7"/>
  <c r="V61" i="7"/>
  <c r="M62" i="7"/>
  <c r="N62" i="7"/>
  <c r="O62" i="7"/>
  <c r="M63" i="7"/>
  <c r="N63" i="7"/>
  <c r="O63" i="7"/>
  <c r="M64" i="7"/>
  <c r="N64" i="7"/>
  <c r="O64" i="7"/>
  <c r="M65" i="7"/>
  <c r="N65" i="7"/>
  <c r="O65" i="7"/>
  <c r="M66" i="7"/>
  <c r="N66" i="7"/>
  <c r="O66" i="7"/>
  <c r="N61" i="7"/>
  <c r="O61" i="7"/>
  <c r="M61" i="7"/>
  <c r="E62" i="7"/>
  <c r="F62" i="7"/>
  <c r="G62" i="7"/>
  <c r="E63" i="7"/>
  <c r="F63" i="7"/>
  <c r="G63" i="7"/>
  <c r="E64" i="7"/>
  <c r="F64" i="7"/>
  <c r="G64" i="7"/>
  <c r="E65" i="7"/>
  <c r="F65" i="7"/>
  <c r="G65" i="7"/>
  <c r="E66" i="7"/>
  <c r="F66" i="7"/>
  <c r="G66" i="7"/>
  <c r="F61" i="7"/>
  <c r="G61" i="7"/>
  <c r="E61" i="7"/>
  <c r="V35" i="7"/>
  <c r="W35" i="7"/>
  <c r="X35" i="7"/>
  <c r="V36" i="7"/>
  <c r="W36" i="7"/>
  <c r="X36" i="7"/>
  <c r="V37" i="7"/>
  <c r="W37" i="7"/>
  <c r="X37" i="7"/>
  <c r="V38" i="7"/>
  <c r="W38" i="7"/>
  <c r="X38" i="7"/>
  <c r="V39" i="7"/>
  <c r="W39" i="7"/>
  <c r="X39" i="7"/>
  <c r="W34" i="7"/>
  <c r="X34" i="7"/>
  <c r="V34" i="7"/>
  <c r="M35" i="7"/>
  <c r="N35" i="7"/>
  <c r="O35" i="7"/>
  <c r="M36" i="7"/>
  <c r="N36" i="7"/>
  <c r="O36" i="7"/>
  <c r="M37" i="7"/>
  <c r="N37" i="7"/>
  <c r="O37" i="7"/>
  <c r="M38" i="7"/>
  <c r="N38" i="7"/>
  <c r="O38" i="7"/>
  <c r="M39" i="7"/>
  <c r="N39" i="7"/>
  <c r="O39" i="7"/>
  <c r="N34" i="7"/>
  <c r="O34" i="7"/>
  <c r="M34" i="7"/>
  <c r="C33" i="6" l="1"/>
  <c r="D33" i="6"/>
  <c r="E33" i="6"/>
  <c r="F33" i="6"/>
  <c r="G33" i="6"/>
  <c r="C34" i="6"/>
  <c r="D34" i="6"/>
  <c r="E34" i="6"/>
  <c r="F34" i="6"/>
  <c r="G34" i="6"/>
  <c r="C35" i="6"/>
  <c r="D35" i="6"/>
  <c r="E35" i="6"/>
  <c r="F35" i="6"/>
  <c r="G35" i="6"/>
  <c r="C36" i="6"/>
  <c r="D36" i="6"/>
  <c r="E36" i="6"/>
  <c r="F36" i="6"/>
  <c r="G36" i="6"/>
  <c r="C37" i="6"/>
  <c r="D37" i="6"/>
  <c r="E37" i="6"/>
  <c r="F37" i="6"/>
  <c r="G37" i="6"/>
  <c r="C38" i="6"/>
  <c r="D38" i="6"/>
  <c r="E38" i="6"/>
  <c r="F38" i="6"/>
  <c r="G38" i="6"/>
  <c r="C39" i="6"/>
  <c r="D39" i="6"/>
  <c r="E39" i="6"/>
  <c r="F39" i="6"/>
  <c r="G39" i="6"/>
  <c r="C40" i="6"/>
  <c r="D40" i="6"/>
  <c r="E40" i="6"/>
  <c r="F40" i="6"/>
  <c r="G40" i="6"/>
  <c r="C41" i="6"/>
  <c r="D41" i="6"/>
  <c r="E41" i="6"/>
  <c r="F41" i="6"/>
  <c r="G41" i="6"/>
  <c r="C42" i="6"/>
  <c r="D42" i="6"/>
  <c r="E42" i="6"/>
  <c r="F42" i="6"/>
  <c r="G42" i="6"/>
  <c r="C43" i="6"/>
  <c r="D43" i="6"/>
  <c r="E43" i="6"/>
  <c r="F43" i="6"/>
  <c r="G43" i="6"/>
  <c r="C44" i="6"/>
  <c r="D44" i="6"/>
  <c r="E44" i="6"/>
  <c r="F44" i="6"/>
  <c r="G44" i="6"/>
  <c r="C45" i="6"/>
  <c r="D45" i="6"/>
  <c r="E45" i="6"/>
  <c r="F45" i="6"/>
  <c r="G45" i="6"/>
  <c r="B34" i="6"/>
  <c r="B35" i="6"/>
  <c r="B36" i="6"/>
  <c r="B37" i="6"/>
  <c r="B38" i="6"/>
  <c r="B39" i="6"/>
  <c r="B40" i="6"/>
  <c r="B41" i="6"/>
  <c r="B42" i="6"/>
  <c r="B43" i="6"/>
  <c r="B44" i="6"/>
  <c r="B45" i="6"/>
  <c r="B33" i="6"/>
  <c r="I34" i="6"/>
  <c r="H44" i="6"/>
  <c r="I43" i="6"/>
  <c r="I36" i="6"/>
  <c r="I40" i="6"/>
  <c r="I41" i="6"/>
  <c r="H45" i="6"/>
  <c r="I38" i="6"/>
  <c r="H34" i="6"/>
  <c r="H35" i="6"/>
  <c r="I35" i="6"/>
  <c r="I33" i="6"/>
  <c r="H41" i="6"/>
  <c r="H39" i="6"/>
  <c r="H42" i="6"/>
  <c r="I37" i="6"/>
  <c r="I39" i="6"/>
  <c r="H38" i="6"/>
  <c r="H40" i="6"/>
  <c r="I44" i="6"/>
  <c r="I42" i="6"/>
  <c r="I45" i="6"/>
  <c r="B52" i="6"/>
  <c r="H33" i="6"/>
  <c r="H37" i="6"/>
  <c r="H36" i="6"/>
  <c r="H43" i="6"/>
  <c r="K40" i="6" l="1"/>
  <c r="K34" i="6"/>
  <c r="K38" i="6"/>
  <c r="K42" i="6"/>
  <c r="K39" i="6"/>
  <c r="K45" i="6"/>
  <c r="K37" i="6"/>
  <c r="K43" i="6"/>
  <c r="K35" i="6"/>
  <c r="K41" i="6"/>
  <c r="K33" i="6"/>
  <c r="D46" i="6"/>
  <c r="K44" i="6"/>
  <c r="K36" i="6"/>
  <c r="G46" i="6"/>
  <c r="F46" i="6"/>
  <c r="E46" i="6"/>
  <c r="C46" i="6"/>
  <c r="H46" i="6"/>
  <c r="J33" i="6"/>
  <c r="I46" i="6"/>
  <c r="J34" i="6"/>
  <c r="J35" i="6"/>
  <c r="J42" i="6"/>
  <c r="J40" i="6"/>
  <c r="J39" i="6"/>
  <c r="J45" i="6"/>
  <c r="J37" i="6"/>
  <c r="J43" i="6"/>
  <c r="J41" i="6"/>
  <c r="J38" i="6"/>
  <c r="J44" i="6"/>
  <c r="J36" i="6"/>
  <c r="B30" i="6"/>
  <c r="C30" i="6" s="1"/>
  <c r="K46" i="6" l="1"/>
  <c r="J46" i="6"/>
  <c r="B46"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1348A-B79D-4F95-A0E2-D7A668612374}" keepAlive="1" name="Query - Fee_Details_AdminRemarks" description="Connection to the 'Fee_Details_AdminRemarks' query in the workbook." type="5" refreshedVersion="0" background="1">
    <dbPr connection="Provider=Microsoft.Mashup.OleDb.1;Data Source=$Workbook$;Location=Fee_Details_AdminRemarks;Extended Properties=&quot;&quot;" command="SELECT * FROM [Fee_Details_AdminRemarks]"/>
  </connection>
  <connection id="2" xr16:uid="{3C4AA921-477D-467F-8E15-77DD997D4F4C}" keepAlive="1" name="Query - Fee_Details_new" description="Connection to the 'Fee_Details_new' query in the workbook." type="5" refreshedVersion="0" background="1">
    <dbPr connection="Provider=Microsoft.Mashup.OleDb.1;Data Source=$Workbook$;Location=Fee_Details_new;Extended Properties=&quot;&quot;" command="SELECT * FROM [Fee_Details_new]"/>
  </connection>
  <connection id="3" xr16:uid="{95A2FC5F-6182-4210-BB37-F597ECBF66FB}" keepAlive="1" name="Query - Pivot_Data_Experimental" description="Connection to the 'Pivot_Data_Experimental' query in the workbook." type="5" refreshedVersion="6" background="1">
    <dbPr connection="Provider=Microsoft.Mashup.OleDb.1;Data Source=$Workbook$;Location=Pivot_Data_Experimental;Extended Properties=&quot;&quot;" command="SELECT * FROM [Pivot_Data_Experimental]"/>
  </connection>
  <connection id="4" xr16:uid="{1CA0680E-68B7-46B7-B662-A71D908D1E59}" keepAlive="1" name="Query - Pivot_Data_New" description="Connection to the 'Pivot_Data_New' query in the workbook." type="5" refreshedVersion="6" background="1">
    <dbPr connection="Provider=Microsoft.Mashup.OleDb.1;Data Source=$Workbook$;Location=Pivot_Data_New;Extended Properties=&quot;&quot;" command="SELECT * FROM [Pivot_Data_New]"/>
  </connection>
  <connection id="5" xr16:uid="{B892D376-6A2A-4A4E-80C2-A28979E2D359}" keepAlive="1" name="Query - Pivot_Data_Old" description="Connection to the 'Pivot_Data_Old' query in the workbook." type="5" refreshedVersion="6" background="1">
    <dbPr connection="Provider=Microsoft.Mashup.OleDb.1;Data Source=$Workbook$;Location=Pivot_Data_Old;Extended Properties=&quot;&quot;" command="SELECT * FROM [Pivot_Data_Old]"/>
  </connection>
  <connection id="6" xr16:uid="{061C1641-7B9C-4EFB-B9FD-324642323265}" keepAlive="1" name="Query - School_Fee_Structure_new" description="Connection to the 'School_Fee_Structure_new' query in the workbook." type="5" refreshedVersion="0" background="1">
    <dbPr connection="Provider=Microsoft.Mashup.OleDb.1;Data Source=$Workbook$;Location=School_Fee_Structure_new;Extended Properties=&quot;&quot;" command="SELECT * FROM [School_Fee_Structure_new]"/>
  </connection>
  <connection id="7" xr16:uid="{AD8202D5-F90B-49F8-A9BC-65A3D547AFDA}" keepAlive="1" name="Query - Student_Data_new" description="Connection to the 'Student_Data_new' query in the workbook." type="5" refreshedVersion="0" background="1">
    <dbPr connection="Provider=Microsoft.Mashup.OleDb.1;Data Source=$Workbook$;Location=Student_Data_new;Extended Properties=&quot;&quot;" command="SELECT * FROM [Student_Data_new]"/>
  </connection>
  <connection id="8" xr16:uid="{B3546872-B522-4C1D-9CFB-74A624DA74AC}" keepAlive="1" name="Query - Student_Fee_Exp_New" description="Connection to the 'Student_Fee_Exp_New' query in the workbook." type="5" refreshedVersion="0" background="1">
    <dbPr connection="Provider=Microsoft.Mashup.OleDb.1;Data Source=$Workbook$;Location=Student_Fee_Exp_New;Extended Properties=&quot;&quot;" command="SELECT * FROM [Student_Fee_Exp_New]"/>
  </connection>
  <connection id="9" xr16:uid="{0DC40EE7-3991-48FA-902E-A7AD8F5E2E0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<sst xmlns="http://schemas.openxmlformats.org/spreadsheetml/2006/main" count="1190" uniqueCount="408">
  <si>
    <t>Student ID</t>
  </si>
  <si>
    <t>Name</t>
  </si>
  <si>
    <t>Paid Status</t>
  </si>
  <si>
    <t>Academic Year</t>
  </si>
  <si>
    <t>Term 1 Report</t>
  </si>
  <si>
    <t>Term 2 Report</t>
  </si>
  <si>
    <t>Term 3 Report</t>
  </si>
  <si>
    <t>Annual Report</t>
  </si>
  <si>
    <t>Class</t>
  </si>
  <si>
    <t>Old Class</t>
  </si>
  <si>
    <t>Sum of Paid_Monthly</t>
  </si>
  <si>
    <t>_Paid_Annual</t>
  </si>
  <si>
    <t>_Total Month_Annual</t>
  </si>
  <si>
    <t>_Annual Pending And Monthly</t>
  </si>
  <si>
    <t>LKG</t>
  </si>
  <si>
    <t>UKG</t>
  </si>
  <si>
    <t>I</t>
  </si>
  <si>
    <t>II</t>
  </si>
  <si>
    <t>III</t>
  </si>
  <si>
    <t>IV</t>
  </si>
  <si>
    <t>V</t>
  </si>
  <si>
    <t>VI</t>
  </si>
  <si>
    <t>VII</t>
  </si>
  <si>
    <t>VIII</t>
  </si>
  <si>
    <t>IX</t>
  </si>
  <si>
    <t>X</t>
  </si>
  <si>
    <t>Grand Total</t>
  </si>
  <si>
    <t>2024-2025</t>
  </si>
  <si>
    <t>Class_New</t>
  </si>
  <si>
    <t xml:space="preserve">Academic Year </t>
  </si>
  <si>
    <t>NLMA00722024</t>
  </si>
  <si>
    <t>AHAVA TITUS R</t>
  </si>
  <si>
    <t>Pending</t>
  </si>
  <si>
    <t>NLMA00612024</t>
  </si>
  <si>
    <t>ALAN JAMES</t>
  </si>
  <si>
    <t>NLMA00472024</t>
  </si>
  <si>
    <t>HARIHARASUDHAN</t>
  </si>
  <si>
    <t>NLMA00732024</t>
  </si>
  <si>
    <t>ARWIN CHADWICK M</t>
  </si>
  <si>
    <t>NLMA00642024</t>
  </si>
  <si>
    <t>RAMANA KRISHNAN</t>
  </si>
  <si>
    <t>NLMA00482024</t>
  </si>
  <si>
    <t>DEVA RAJA SINGAM</t>
  </si>
  <si>
    <t>Boys</t>
  </si>
  <si>
    <t>Girls</t>
  </si>
  <si>
    <t>NLMA00742024</t>
  </si>
  <si>
    <t>MARAN E</t>
  </si>
  <si>
    <t>NLMA00652024</t>
  </si>
  <si>
    <t>SAM RANIAN</t>
  </si>
  <si>
    <t>NLMA00492024</t>
  </si>
  <si>
    <t>MARISELVAM</t>
  </si>
  <si>
    <t>Pre KG</t>
  </si>
  <si>
    <t>NLMA00752024</t>
  </si>
  <si>
    <t>MUGILAN E</t>
  </si>
  <si>
    <t>NLMA00682024</t>
  </si>
  <si>
    <t xml:space="preserve">JUDITH PHOBEYAL </t>
  </si>
  <si>
    <t>NLMA00502024</t>
  </si>
  <si>
    <t>SUGIDHAN</t>
  </si>
  <si>
    <t>NLMA00762024</t>
  </si>
  <si>
    <t>PAUL FELIX P</t>
  </si>
  <si>
    <t>NLMA00692024</t>
  </si>
  <si>
    <t>SANDHIYA</t>
  </si>
  <si>
    <t>NLMA00512024</t>
  </si>
  <si>
    <t>MAHISHA</t>
  </si>
  <si>
    <t>NLMA00772024</t>
  </si>
  <si>
    <t>SAKTHIVEL S</t>
  </si>
  <si>
    <t>NLMA00702024</t>
  </si>
  <si>
    <t>SANOHA GRACE . T</t>
  </si>
  <si>
    <t>NLMA00522024</t>
  </si>
  <si>
    <t>SIVA KARTHIKA</t>
  </si>
  <si>
    <t>NLMA00802024</t>
  </si>
  <si>
    <t>AGALYA S</t>
  </si>
  <si>
    <t>NLMA00542024</t>
  </si>
  <si>
    <t>SHIVANI</t>
  </si>
  <si>
    <t>NLMA00822024</t>
  </si>
  <si>
    <t>ILAMATHI S</t>
  </si>
  <si>
    <t>NLMA00842024</t>
  </si>
  <si>
    <t>SIVARANJANI G</t>
  </si>
  <si>
    <t>NLMA00932024</t>
  </si>
  <si>
    <t>VARUN</t>
  </si>
  <si>
    <t>NLMA00852024</t>
  </si>
  <si>
    <t>SRIVIDHYALAKSHMI</t>
  </si>
  <si>
    <t>NLMA01032024</t>
  </si>
  <si>
    <t>KHAVISHNA M</t>
  </si>
  <si>
    <t>NLMA00862024</t>
  </si>
  <si>
    <t>VIJI M</t>
  </si>
  <si>
    <t>Fees Not Entered / Missing Fees</t>
  </si>
  <si>
    <t>Female</t>
  </si>
  <si>
    <t>HSC</t>
  </si>
  <si>
    <t>Male</t>
  </si>
  <si>
    <t>Not Specified</t>
  </si>
  <si>
    <t>MA BED</t>
  </si>
  <si>
    <t>NLMA00122024</t>
  </si>
  <si>
    <t>SARAN RAJ</t>
  </si>
  <si>
    <t>NLMA00172024</t>
  </si>
  <si>
    <t>MUGESH M</t>
  </si>
  <si>
    <t>NLMA00392024</t>
  </si>
  <si>
    <t>KEITHIYON M</t>
  </si>
  <si>
    <t>NLMA00092024</t>
  </si>
  <si>
    <t>MARI SELVAM D</t>
  </si>
  <si>
    <t>Town</t>
  </si>
  <si>
    <t>KABALIPAARAI</t>
  </si>
  <si>
    <t>KALITHEERTHANPATTI</t>
  </si>
  <si>
    <t>KEELA PAPPAKUDI</t>
  </si>
  <si>
    <t>KEELA PAPPKAUDI</t>
  </si>
  <si>
    <t>KEELAPAPPAKUDI</t>
  </si>
  <si>
    <t xml:space="preserve">KUMRASAMIYAPURAM </t>
  </si>
  <si>
    <t>MANNAGARAM</t>
  </si>
  <si>
    <t>MELA PAPPAKUDI</t>
  </si>
  <si>
    <t>MELA PAPPKUDI</t>
  </si>
  <si>
    <t>MUKKUDAL</t>
  </si>
  <si>
    <t>MYLAPURAM</t>
  </si>
  <si>
    <t>NADHANTHATTAI</t>
  </si>
  <si>
    <t>NANTHANTHATTAI</t>
  </si>
  <si>
    <t>ODAIKARAI THULUKKAPATTI</t>
  </si>
  <si>
    <t>ODAIMARICHAN</t>
  </si>
  <si>
    <t>PANAYANKURICHI</t>
  </si>
  <si>
    <t>PAPAAKUDI</t>
  </si>
  <si>
    <t>PAPPAKUDI</t>
  </si>
  <si>
    <t>PAPPKUDI</t>
  </si>
  <si>
    <t>PARUTHIVAIKULAM</t>
  </si>
  <si>
    <t>NLMA00322024</t>
  </si>
  <si>
    <t>JENISHA C</t>
  </si>
  <si>
    <t>PUDHUGRAMAM</t>
  </si>
  <si>
    <t>PUDHUGRAMAM, PAPPAKUDI</t>
  </si>
  <si>
    <t>PUTHUGRAMAM</t>
  </si>
  <si>
    <t>RASHTHAVUR</t>
  </si>
  <si>
    <t>SADAYAPAPURAM</t>
  </si>
  <si>
    <t>SENGULAM</t>
  </si>
  <si>
    <t>SINGAMPAARAI</t>
  </si>
  <si>
    <t>TENKASI</t>
  </si>
  <si>
    <t>THIRUPANI KARISALKULAM</t>
  </si>
  <si>
    <t>VADAKKU ARIYANAYAGIPURAM</t>
  </si>
  <si>
    <t>NLMA00632024</t>
  </si>
  <si>
    <t>MUKIL INIYAN</t>
  </si>
  <si>
    <t>VADAKU ARIYANAGIPURAM</t>
  </si>
  <si>
    <t>NLMA00662024</t>
  </si>
  <si>
    <t>BALA ISHVIKA</t>
  </si>
  <si>
    <t>VELLIKULAM</t>
  </si>
  <si>
    <t>MELAPAPPAKUDI</t>
  </si>
  <si>
    <t>O.THULUKKAPATTI</t>
  </si>
  <si>
    <t xml:space="preserve">MELA PAPPAKUDI </t>
  </si>
  <si>
    <t>NLMA00792024</t>
  </si>
  <si>
    <t>VISHWA MADHESH</t>
  </si>
  <si>
    <t>NLMA00812024</t>
  </si>
  <si>
    <t>ESAI DHARANI K</t>
  </si>
  <si>
    <t>NLMA01182024</t>
  </si>
  <si>
    <t>KABINESH. S</t>
  </si>
  <si>
    <t>NLMA01202024</t>
  </si>
  <si>
    <t>JASLIN</t>
  </si>
  <si>
    <t>NLMA00312024</t>
  </si>
  <si>
    <t>DHARSHINI S</t>
  </si>
  <si>
    <t>NLMA00062024</t>
  </si>
  <si>
    <t>AARUMUGAM</t>
  </si>
  <si>
    <t>NLMA00182024</t>
  </si>
  <si>
    <t>ESAI SELVAN P</t>
  </si>
  <si>
    <t>NLMA00212024</t>
  </si>
  <si>
    <t>THARKA RAJAN K</t>
  </si>
  <si>
    <t>NLMA00272024</t>
  </si>
  <si>
    <t>MAHESH MUTHU PANDI U</t>
  </si>
  <si>
    <t>NLMA00292024</t>
  </si>
  <si>
    <t>VINOTH T.S.P</t>
  </si>
  <si>
    <t>NLMA00332024</t>
  </si>
  <si>
    <t>MADHU ISHA</t>
  </si>
  <si>
    <t>NLMA00342024</t>
  </si>
  <si>
    <t>SANJANA M</t>
  </si>
  <si>
    <t>NLMA00532024</t>
  </si>
  <si>
    <t>SANVIMIYA</t>
  </si>
  <si>
    <t>NLMA00602024</t>
  </si>
  <si>
    <t>ESAI MUTHU SELVI</t>
  </si>
  <si>
    <t>NLMA00622024</t>
  </si>
  <si>
    <t>ETHIKSHAN</t>
  </si>
  <si>
    <t>NLMA00672024</t>
  </si>
  <si>
    <t>INDIRAJA</t>
  </si>
  <si>
    <t>NLMA00832024</t>
  </si>
  <si>
    <t>SARASWATHI R</t>
  </si>
  <si>
    <t>NLMA01042024</t>
  </si>
  <si>
    <t xml:space="preserve">SELVA LAKSHMI </t>
  </si>
  <si>
    <t>NLMA01092024</t>
  </si>
  <si>
    <t xml:space="preserve">JERISH IMMANUAL </t>
  </si>
  <si>
    <t>NLMA01132024</t>
  </si>
  <si>
    <t xml:space="preserve">ESHA ABI SRI </t>
  </si>
  <si>
    <t>NLMA01142024</t>
  </si>
  <si>
    <t>JASMINE</t>
  </si>
  <si>
    <t>NLMA01192024</t>
  </si>
  <si>
    <t xml:space="preserve">UDHAYA SRI . S </t>
  </si>
  <si>
    <t>NLMA01212024</t>
  </si>
  <si>
    <t>SRI HARSHIGA</t>
  </si>
  <si>
    <t>(All)</t>
  </si>
  <si>
    <t>NLMA01152024</t>
  </si>
  <si>
    <t>MAHARANI</t>
  </si>
  <si>
    <t>KALITHERTHANPATTI</t>
  </si>
  <si>
    <t>KUMARASAMIYAPURAM</t>
  </si>
  <si>
    <t>PATTARPURAM</t>
  </si>
  <si>
    <t>THIRUPANI KARISAL KULAM</t>
  </si>
  <si>
    <t>INDIRA NAGAR</t>
  </si>
  <si>
    <t>THIRUPANIKARISALKULAM</t>
  </si>
  <si>
    <t>PAARUTHIVAIKULAM</t>
  </si>
  <si>
    <t>KUMARASAMIPURAM</t>
  </si>
  <si>
    <t>BSC MATHS BED</t>
  </si>
  <si>
    <t>Fees not entered yet</t>
  </si>
  <si>
    <t>Link</t>
  </si>
  <si>
    <t xml:space="preserve"> Father's  Education</t>
  </si>
  <si>
    <t xml:space="preserve"> Mother's  Education</t>
  </si>
  <si>
    <t>No Of Students</t>
  </si>
  <si>
    <t>Term 1 Fees</t>
  </si>
  <si>
    <t>Term 1 Paid</t>
  </si>
  <si>
    <t>Term 1 Pending</t>
  </si>
  <si>
    <t>Term 2 Fees</t>
  </si>
  <si>
    <t>Term 2 Paid</t>
  </si>
  <si>
    <t>Term 2 Pending</t>
  </si>
  <si>
    <t>Term 3 Fees</t>
  </si>
  <si>
    <t>Term 3 Paid</t>
  </si>
  <si>
    <t>Term 3 Pending</t>
  </si>
  <si>
    <t>PRE-KG</t>
  </si>
  <si>
    <t>NLMA01252024</t>
  </si>
  <si>
    <t>MURUGAVEL</t>
  </si>
  <si>
    <t>NLMA01262024</t>
  </si>
  <si>
    <t>JHANVI SHREE</t>
  </si>
  <si>
    <t>NLMA01272024</t>
  </si>
  <si>
    <t>JEFIN MATHEUS</t>
  </si>
  <si>
    <t>Row Labels</t>
  </si>
  <si>
    <t>Count of Old Class</t>
  </si>
  <si>
    <t>Sum of Paid Fees</t>
  </si>
  <si>
    <t>Missing_Fees</t>
  </si>
  <si>
    <t xml:space="preserve"> Discounted_Fee</t>
  </si>
  <si>
    <t>Amount_Reduced</t>
  </si>
  <si>
    <t>Paid_Fees</t>
  </si>
  <si>
    <t xml:space="preserve"> Annual_Fee_Amount</t>
  </si>
  <si>
    <t xml:space="preserve"> Pending_Fees</t>
  </si>
  <si>
    <t>Strength</t>
  </si>
  <si>
    <t>Count of Gender</t>
  </si>
  <si>
    <t>Sum of Term 1</t>
  </si>
  <si>
    <t>Sum of Paid_Term1</t>
  </si>
  <si>
    <t>Sum of Term 1 Pending</t>
  </si>
  <si>
    <t>Sum of Term 3</t>
  </si>
  <si>
    <t>Sum of Paid_Term3</t>
  </si>
  <si>
    <t>Sum of Term 3 Pending</t>
  </si>
  <si>
    <t>Sum of Term 2</t>
  </si>
  <si>
    <t>Sum of Paid_Term2</t>
  </si>
  <si>
    <t>Sum of Term 2 Pending</t>
  </si>
  <si>
    <t>Sum of Paid_Annual</t>
  </si>
  <si>
    <t>Sum of Monthly_Annual Total</t>
  </si>
  <si>
    <t>Sum of Annual And Monthly Pending</t>
  </si>
  <si>
    <t>Count of Student ID</t>
  </si>
  <si>
    <t>Father's Highest Education</t>
  </si>
  <si>
    <t>Mother's Highest Education</t>
  </si>
  <si>
    <t>NLMA00912024</t>
  </si>
  <si>
    <t>MAKITHESH</t>
  </si>
  <si>
    <t>Paid Fully</t>
  </si>
  <si>
    <t>CONSOLIDATION</t>
  </si>
  <si>
    <t>Fee Estimate</t>
  </si>
  <si>
    <t>Sum of Discounted Fee</t>
  </si>
  <si>
    <t>Sum of Fee Amount</t>
  </si>
  <si>
    <t>Sum of Amount Reduced</t>
  </si>
  <si>
    <t>Reduced Fee</t>
  </si>
  <si>
    <t>Discount Fee</t>
  </si>
  <si>
    <t>Complete Fee Discount</t>
  </si>
  <si>
    <t>Estimate</t>
  </si>
  <si>
    <t>Orignal Fee</t>
  </si>
  <si>
    <t>Original Estimate</t>
  </si>
  <si>
    <t>Total</t>
  </si>
  <si>
    <t>Value after complete fee discount</t>
  </si>
  <si>
    <t>RTE SCHEME REDUCTION</t>
  </si>
  <si>
    <t>Indhumati's Estimate</t>
  </si>
  <si>
    <t>Difference</t>
  </si>
  <si>
    <t>Fees</t>
  </si>
  <si>
    <t>Original Fee</t>
  </si>
  <si>
    <t>Amount fully cancelled</t>
  </si>
  <si>
    <t>RTE Scheme</t>
  </si>
  <si>
    <t>Amount</t>
  </si>
  <si>
    <t>Final Fees Need to be received</t>
  </si>
  <si>
    <t>RTE Reduction</t>
  </si>
  <si>
    <t>No of Students not paid/ Complete fee discount</t>
  </si>
  <si>
    <t>total fee itself 280000</t>
  </si>
  <si>
    <t>Amt fully cancelled not included</t>
  </si>
  <si>
    <t>Tallied</t>
  </si>
  <si>
    <t>Amt cancelled for 3 students not included</t>
  </si>
  <si>
    <t>Actual Fee that will/shud be collected</t>
  </si>
  <si>
    <t>Fees Margin</t>
  </si>
  <si>
    <t>Fee Amount</t>
  </si>
  <si>
    <t xml:space="preserve"> Discounted Fee</t>
  </si>
  <si>
    <t xml:space="preserve"> Paid Fees</t>
  </si>
  <si>
    <t>Amount Reduced</t>
  </si>
  <si>
    <t>No Fees Paid</t>
  </si>
  <si>
    <t>NLMA00712024</t>
  </si>
  <si>
    <t xml:space="preserve">SUBALATHA </t>
  </si>
  <si>
    <t>NLMA00922024</t>
  </si>
  <si>
    <t>SHIVASRI R</t>
  </si>
  <si>
    <t>NLMA00962024</t>
  </si>
  <si>
    <t>HARSHAD BALAN K</t>
  </si>
  <si>
    <t>NLMA01102024</t>
  </si>
  <si>
    <t xml:space="preserve">MATHESH </t>
  </si>
  <si>
    <t>NLMA01112024</t>
  </si>
  <si>
    <t xml:space="preserve">PERVIN RAJ </t>
  </si>
  <si>
    <t>NLMA01122024</t>
  </si>
  <si>
    <t xml:space="preserve">RAMSARAN </t>
  </si>
  <si>
    <t>NLMA01162024</t>
  </si>
  <si>
    <t>MAHA SELVI</t>
  </si>
  <si>
    <t>NLMA01172024</t>
  </si>
  <si>
    <t xml:space="preserve">NIKITHA </t>
  </si>
  <si>
    <t>NLMA01232024</t>
  </si>
  <si>
    <t>MITHRA</t>
  </si>
  <si>
    <t>NLMA01242024</t>
  </si>
  <si>
    <t>DURAI MURUGAN</t>
  </si>
  <si>
    <t>NLMA00552024</t>
  </si>
  <si>
    <t>EJAI SRI</t>
  </si>
  <si>
    <t>NLMA00562024</t>
  </si>
  <si>
    <t>KINGSON</t>
  </si>
  <si>
    <t>NLMA00572024</t>
  </si>
  <si>
    <t>SELVA ASHWIN</t>
  </si>
  <si>
    <t>NLMA00582024</t>
  </si>
  <si>
    <t>SUBIN RAJA</t>
  </si>
  <si>
    <t>NLMA00592024</t>
  </si>
  <si>
    <t>THIRUKUMARAN</t>
  </si>
  <si>
    <t>NLMA00902024</t>
  </si>
  <si>
    <t>VETRIBALAN</t>
  </si>
  <si>
    <t>NLMA00952024</t>
  </si>
  <si>
    <t>VARUN PRAJITH</t>
  </si>
  <si>
    <t>NLMA00982024</t>
  </si>
  <si>
    <t>HARIHARASUDHAN E</t>
  </si>
  <si>
    <t>NLMA00992024</t>
  </si>
  <si>
    <t>MITHRA M</t>
  </si>
  <si>
    <t>NLMA00372024</t>
  </si>
  <si>
    <t>DEVA VISHNU</t>
  </si>
  <si>
    <t>NLMA00382024</t>
  </si>
  <si>
    <t>DHANUSH S</t>
  </si>
  <si>
    <t>NLMA00402024</t>
  </si>
  <si>
    <t>ASWIN M</t>
  </si>
  <si>
    <t>NLMA00412024</t>
  </si>
  <si>
    <t>MUTHU MARI DHANUSH P</t>
  </si>
  <si>
    <t>NLMA00422024</t>
  </si>
  <si>
    <t>NITHISH</t>
  </si>
  <si>
    <t>NLMA00432024</t>
  </si>
  <si>
    <t>SRIDHAR M</t>
  </si>
  <si>
    <t>NLMA00442024</t>
  </si>
  <si>
    <t>ARIYANAYAKI C</t>
  </si>
  <si>
    <t>NLMA00452024</t>
  </si>
  <si>
    <t>SIVA RUDRA</t>
  </si>
  <si>
    <t>NLMA00462024</t>
  </si>
  <si>
    <t>VEDISHA M</t>
  </si>
  <si>
    <t>NLMA00972024</t>
  </si>
  <si>
    <t>THANGAVEL B</t>
  </si>
  <si>
    <t>NLMA00192024</t>
  </si>
  <si>
    <t>PRAVEEN KUMAR</t>
  </si>
  <si>
    <t>NLMA00222024</t>
  </si>
  <si>
    <t>ANUSHYA SELVI</t>
  </si>
  <si>
    <t>NLMA00232024</t>
  </si>
  <si>
    <t>PADMA</t>
  </si>
  <si>
    <t>NLMA00242024</t>
  </si>
  <si>
    <t xml:space="preserve">PRAVEENA S </t>
  </si>
  <si>
    <t>NLMA00252024</t>
  </si>
  <si>
    <t>SANJANA A</t>
  </si>
  <si>
    <t>NLMA00262024</t>
  </si>
  <si>
    <t>SHALIN DHIYA</t>
  </si>
  <si>
    <t>NLMA00892024</t>
  </si>
  <si>
    <t>SRIMAHALAKSHMI U</t>
  </si>
  <si>
    <t>NLMA00142024</t>
  </si>
  <si>
    <t>MUTHU AARUMUGAM P</t>
  </si>
  <si>
    <t>NLMA00152024</t>
  </si>
  <si>
    <t>INDUJA</t>
  </si>
  <si>
    <t>NLMA00872024</t>
  </si>
  <si>
    <t>MUTHURAM L</t>
  </si>
  <si>
    <t>NLMA00052024</t>
  </si>
  <si>
    <t>AMARNATH</t>
  </si>
  <si>
    <t>NLMA00072024</t>
  </si>
  <si>
    <t>KAJIRAVENDHAN</t>
  </si>
  <si>
    <t>NLMA00082024</t>
  </si>
  <si>
    <t>KAVIN BALA</t>
  </si>
  <si>
    <t>NLMA00102024</t>
  </si>
  <si>
    <t>KARTHIKA P</t>
  </si>
  <si>
    <t>NLMA01022024</t>
  </si>
  <si>
    <t>DEEPA S</t>
  </si>
  <si>
    <t>NLMA01052024</t>
  </si>
  <si>
    <t>SELVA RAGAVAN</t>
  </si>
  <si>
    <t>NLMA01222024</t>
  </si>
  <si>
    <t>HARISH MAHA RAJA</t>
  </si>
  <si>
    <t>NLMA00882024</t>
  </si>
  <si>
    <t>VIRUTHIMAN PONSARATHY S</t>
  </si>
  <si>
    <t>NLMA01062024</t>
  </si>
  <si>
    <t>ESAKKI RAJ</t>
  </si>
  <si>
    <t>NLMA01072024</t>
  </si>
  <si>
    <t>SRI BALAJEE</t>
  </si>
  <si>
    <t>NLMA01082024</t>
  </si>
  <si>
    <t>HANSIKA</t>
  </si>
  <si>
    <t>NLMA00022024</t>
  </si>
  <si>
    <t>HARINI RASIKA</t>
  </si>
  <si>
    <t>NLMA00032024</t>
  </si>
  <si>
    <t>SINTHIYA</t>
  </si>
  <si>
    <t>NLMA01292024</t>
  </si>
  <si>
    <t>KIRISHIKA R.S.</t>
  </si>
  <si>
    <t>NLMA01282024</t>
  </si>
  <si>
    <t>VAISHNAVI</t>
  </si>
  <si>
    <t>NLMA01322024</t>
  </si>
  <si>
    <t>MUVISHA</t>
  </si>
  <si>
    <t>NLMA01312024</t>
  </si>
  <si>
    <t>SELVA NAMBI</t>
  </si>
  <si>
    <t>NLMA01302024</t>
  </si>
  <si>
    <t xml:space="preserve">PAVINA SRI </t>
  </si>
  <si>
    <t>URKAADU</t>
  </si>
  <si>
    <t xml:space="preserve">KEELA PAPPAKUDI </t>
  </si>
  <si>
    <t xml:space="preserve">MUKKUDAL </t>
  </si>
  <si>
    <t>NLMA01342024</t>
  </si>
  <si>
    <t>AKANSHA</t>
  </si>
  <si>
    <t>NLMA01332024</t>
  </si>
  <si>
    <t>AKANYA</t>
  </si>
  <si>
    <t>NLMA01352024</t>
  </si>
  <si>
    <t xml:space="preserve">THEODARE WILLIAMS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</si>
</sst>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_);[Red]\(&quot;₹&quot;#,##0.00\)"/>
    <numFmt numFmtId="165" formatCode="&quot;₹&quot;\ #,##0.00"/>
    <numFmt numFmtId="166" formatCode="&quot;₹&quot;\ #,##0.00;[Red]&quot;₹&quot;\ #,##0.00"/>
  </numFmts>
  <fonts count="7" x14ac:knownFonts="1">
    <font>
      <sz val="11"/>
      <color theme="1"/>
      <name val="Calibri"/>
      <family val="2"/>
      <scheme val="minor"/>
    </font>
    <font>
      <sz val="11"/>
      <color theme="1"/>
      <name val="Calisto MT"/>
      <family val="1"/>
    </font>
    <font>
      <b/>
      <sz val="11"/>
      <color theme="1"/>
      <name val="Calisto MT"/>
      <family val="1"/>
    </font>
    <font>
      <sz val="12"/>
      <color theme="1"/>
      <name val="Cambria"/>
      <family val="1"/>
    </font>
    <font>
      <b/>
      <sz val="14"/>
      <color rgb="FF000000"/>
      <name val="Calibri"/>
      <family val="2"/>
      <scheme val="minor"/>
    </font>
    <font>
      <sz val="11"/>
      <color rgb="FF000000"/>
      <name val="Calisto MT"/>
      <family val="1"/>
    </font>
    <font>
      <b/>
      <sz val="11"/>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8" tint="0.79998168889431442"/>
        <bgColor theme="8"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F0000"/>
        <bgColor indexed="64"/>
      </patternFill>
    </fill>
  </fills>
  <borders count="19">
    <border>
      <left/>
      <right/>
      <top/>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theme="4" tint="0.39997558519241921"/>
      </bottom>
      <diagonal/>
    </border>
    <border>
      <left/>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4" tint="0.39997558519241921"/>
      </bottom>
      <diagonal/>
    </border>
  </borders>
  <cellStyleXfs count="1">
    <xf numFmtId="0" fontId="0" fillId="0" borderId="0"/>
  </cellStyleXfs>
  <cellXfs count="80">
    <xf numFmtId="0" fontId="0" fillId="0" borderId="0" xfId="0"/>
    <xf numFmtId="0" fontId="0" fillId="2" borderId="0" xfId="0" applyFill="1"/>
    <xf numFmtId="0" fontId="0" fillId="2" borderId="0" xfId="0" applyFill="1" applyProtection="1">
      <protection locked="0"/>
    </xf>
    <xf numFmtId="0" fontId="2" fillId="2" borderId="0" xfId="0" applyFont="1" applyFill="1" applyAlignment="1">
      <alignment horizontal="center" vertical="center"/>
    </xf>
    <xf numFmtId="0" fontId="3" fillId="2" borderId="0" xfId="0" applyFont="1" applyFill="1" applyAlignment="1">
      <alignment horizontal="center" vertical="center"/>
    </xf>
    <xf numFmtId="0" fontId="2" fillId="2" borderId="0" xfId="0" applyFont="1" applyFill="1" applyAlignment="1">
      <alignment horizontal="center"/>
    </xf>
    <xf numFmtId="0" fontId="3" fillId="2" borderId="0" xfId="0" applyFont="1" applyFill="1"/>
    <xf numFmtId="0" fontId="1" fillId="0" borderId="0" xfId="0" applyFont="1"/>
    <xf numFmtId="0" fontId="1" fillId="0" borderId="0" xfId="0" applyFont="1" applyAlignment="1">
      <alignment horizontal="center" vertical="center" wrapText="1"/>
    </xf>
    <xf numFmtId="0" fontId="0" fillId="0" borderId="0" xfId="0" applyAlignment="1">
      <alignment horizontal="center" vertical="center" wrapText="1"/>
    </xf>
    <xf numFmtId="164" fontId="0" fillId="0" borderId="0" xfId="0" applyNumberFormat="1"/>
    <xf numFmtId="0" fontId="0" fillId="0" borderId="0" xfId="0" applyAlignment="1">
      <alignment horizontal="center" vertical="center"/>
    </xf>
    <xf numFmtId="0" fontId="1" fillId="0" borderId="0" xfId="0" applyFont="1" applyAlignment="1">
      <alignment wrapText="1"/>
    </xf>
    <xf numFmtId="164" fontId="0" fillId="3" borderId="1" xfId="0" applyNumberFormat="1" applyFill="1" applyBorder="1"/>
    <xf numFmtId="0" fontId="0" fillId="0" borderId="0" xfId="0" pivotButton="1"/>
    <xf numFmtId="0" fontId="1" fillId="0" borderId="0" xfId="0" applyNumberFormat="1" applyFont="1"/>
    <xf numFmtId="0" fontId="0" fillId="2" borderId="0" xfId="0" applyFill="1" applyAlignment="1"/>
    <xf numFmtId="0" fontId="4" fillId="0" borderId="0" xfId="0" applyFont="1"/>
    <xf numFmtId="0" fontId="2" fillId="2" borderId="0" xfId="0" applyFont="1" applyFill="1" applyAlignment="1">
      <alignment horizontal="center" vertical="center" wrapText="1"/>
    </xf>
    <xf numFmtId="0" fontId="1" fillId="2" borderId="0" xfId="0" applyFont="1" applyFill="1" applyAlignment="1">
      <alignment horizontal="left" vertical="center" wrapText="1"/>
    </xf>
    <xf numFmtId="0" fontId="2" fillId="2" borderId="0" xfId="0" applyFont="1" applyFill="1" applyAlignment="1">
      <alignment horizontal="left" vertical="center"/>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164" fontId="0" fillId="0" borderId="5" xfId="0" applyNumberFormat="1" applyBorder="1"/>
    <xf numFmtId="164" fontId="0" fillId="0" borderId="0" xfId="0" applyNumberFormat="1" applyBorder="1"/>
    <xf numFmtId="164" fontId="0" fillId="0" borderId="6" xfId="0" applyNumberFormat="1" applyBorder="1"/>
    <xf numFmtId="164" fontId="0" fillId="0" borderId="7" xfId="0" applyNumberFormat="1" applyBorder="1"/>
    <xf numFmtId="164" fontId="0" fillId="0" borderId="8" xfId="0" applyNumberFormat="1" applyBorder="1"/>
    <xf numFmtId="164" fontId="0" fillId="0" borderId="9" xfId="0" applyNumberFormat="1" applyBorder="1"/>
    <xf numFmtId="164" fontId="5" fillId="0" borderId="5" xfId="0" applyNumberFormat="1" applyFont="1" applyBorder="1" applyAlignment="1">
      <alignment horizontal="center" vertical="center"/>
    </xf>
    <xf numFmtId="164" fontId="5" fillId="0" borderId="0" xfId="0" applyNumberFormat="1" applyFont="1" applyBorder="1" applyAlignment="1">
      <alignment horizontal="center" vertical="center"/>
    </xf>
    <xf numFmtId="164" fontId="5" fillId="0" borderId="6" xfId="0" applyNumberFormat="1" applyFont="1" applyBorder="1" applyAlignment="1">
      <alignment horizontal="center" vertical="center"/>
    </xf>
    <xf numFmtId="164" fontId="5" fillId="0" borderId="7" xfId="0" applyNumberFormat="1" applyFont="1" applyBorder="1" applyAlignment="1">
      <alignment horizontal="center" vertical="center"/>
    </xf>
    <xf numFmtId="164" fontId="5" fillId="0" borderId="8" xfId="0" applyNumberFormat="1" applyFont="1" applyBorder="1" applyAlignment="1">
      <alignment horizontal="center" vertical="center"/>
    </xf>
    <xf numFmtId="164" fontId="5" fillId="0" borderId="9" xfId="0" applyNumberFormat="1" applyFont="1" applyBorder="1" applyAlignment="1">
      <alignment horizontal="center" vertical="center"/>
    </xf>
    <xf numFmtId="0" fontId="1" fillId="4" borderId="10" xfId="0" applyFont="1" applyFill="1" applyBorder="1" applyAlignment="1">
      <alignment horizontal="center" vertical="center" wrapText="1"/>
    </xf>
    <xf numFmtId="0" fontId="1" fillId="4" borderId="11" xfId="0" applyFont="1" applyFill="1" applyBorder="1" applyAlignment="1">
      <alignment horizontal="center" vertical="center" wrapText="1"/>
    </xf>
    <xf numFmtId="0" fontId="1" fillId="4" borderId="12" xfId="0" applyFont="1" applyFill="1" applyBorder="1" applyAlignment="1">
      <alignment horizontal="center" vertical="center" wrapText="1"/>
    </xf>
    <xf numFmtId="0" fontId="0" fillId="0" borderId="0" xfId="0" applyNumberFormat="1"/>
    <xf numFmtId="0" fontId="0" fillId="0" borderId="0" xfId="0" applyAlignment="1">
      <alignment horizontal="left"/>
    </xf>
    <xf numFmtId="0" fontId="5" fillId="0" borderId="0" xfId="0" applyNumberFormat="1" applyFont="1" applyAlignment="1">
      <alignment horizontal="center" vertical="center"/>
    </xf>
    <xf numFmtId="164" fontId="0" fillId="0" borderId="0" xfId="0" applyNumberFormat="1" applyAlignment="1">
      <alignment horizontal="center" vertical="center"/>
    </xf>
    <xf numFmtId="0" fontId="0" fillId="0" borderId="0" xfId="0" applyAlignment="1">
      <alignment horizontal="left" indent="1"/>
    </xf>
    <xf numFmtId="165" fontId="0" fillId="0" borderId="0" xfId="0" applyNumberFormat="1"/>
    <xf numFmtId="0" fontId="6" fillId="0" borderId="0" xfId="0" applyFont="1"/>
    <xf numFmtId="0" fontId="6" fillId="4" borderId="13" xfId="0" applyNumberFormat="1" applyFont="1" applyFill="1" applyBorder="1"/>
    <xf numFmtId="0" fontId="6" fillId="4" borderId="0" xfId="0" applyNumberFormat="1" applyFont="1" applyFill="1" applyBorder="1"/>
    <xf numFmtId="0" fontId="6" fillId="0" borderId="0" xfId="0" applyFont="1" applyAlignment="1">
      <alignment horizontal="left"/>
    </xf>
    <xf numFmtId="0" fontId="0" fillId="5" borderId="0" xfId="0" applyFill="1"/>
    <xf numFmtId="0" fontId="0" fillId="6" borderId="0" xfId="0" applyFill="1"/>
    <xf numFmtId="0" fontId="0" fillId="9" borderId="0" xfId="0" applyFill="1"/>
    <xf numFmtId="0" fontId="6" fillId="0" borderId="0" xfId="0" applyFont="1" applyAlignment="1">
      <alignment horizontal="center" vertical="center" wrapText="1"/>
    </xf>
    <xf numFmtId="0" fontId="0" fillId="11" borderId="0" xfId="0" applyFill="1" applyAlignment="1">
      <alignment horizontal="center" vertical="center" wrapText="1"/>
    </xf>
    <xf numFmtId="0" fontId="6" fillId="7" borderId="14" xfId="0" applyFont="1" applyFill="1" applyBorder="1" applyAlignment="1">
      <alignment horizontal="center" vertical="center" wrapText="1"/>
    </xf>
    <xf numFmtId="0" fontId="6" fillId="8" borderId="14" xfId="0" applyFont="1" applyFill="1" applyBorder="1" applyAlignment="1">
      <alignment horizontal="center" vertical="center" wrapText="1"/>
    </xf>
    <xf numFmtId="0" fontId="0" fillId="10" borderId="14" xfId="0" applyFill="1" applyBorder="1"/>
    <xf numFmtId="0" fontId="0" fillId="7" borderId="14" xfId="0" applyFill="1" applyBorder="1"/>
    <xf numFmtId="0" fontId="0" fillId="8" borderId="14" xfId="0" applyFill="1" applyBorder="1"/>
    <xf numFmtId="0" fontId="6" fillId="0" borderId="14" xfId="0" applyFont="1" applyBorder="1"/>
    <xf numFmtId="0" fontId="1" fillId="0" borderId="14" xfId="0" applyFont="1" applyBorder="1" applyAlignment="1">
      <alignment horizontal="center" vertical="center" wrapText="1"/>
    </xf>
    <xf numFmtId="166" fontId="5" fillId="0" borderId="14" xfId="0" applyNumberFormat="1" applyFont="1" applyBorder="1" applyAlignment="1">
      <alignment horizontal="center" vertical="center"/>
    </xf>
    <xf numFmtId="166" fontId="0" fillId="0" borderId="14" xfId="0" applyNumberFormat="1" applyBorder="1" applyAlignment="1">
      <alignment horizontal="center" vertical="center"/>
    </xf>
    <xf numFmtId="0" fontId="0" fillId="0" borderId="5" xfId="0" applyNumberFormat="1" applyBorder="1"/>
    <xf numFmtId="0" fontId="0" fillId="0" borderId="0" xfId="0" applyNumberFormat="1" applyBorder="1"/>
    <xf numFmtId="0" fontId="0" fillId="0" borderId="6" xfId="0" applyNumberFormat="1" applyBorder="1"/>
    <xf numFmtId="0" fontId="0" fillId="0" borderId="7" xfId="0" applyNumberFormat="1" applyBorder="1"/>
    <xf numFmtId="0" fontId="0" fillId="0" borderId="8" xfId="0" applyNumberFormat="1" applyBorder="1"/>
    <xf numFmtId="0" fontId="0" fillId="0" borderId="9" xfId="0" applyNumberFormat="1" applyBorder="1"/>
    <xf numFmtId="0" fontId="0" fillId="0" borderId="2" xfId="0" applyNumberFormat="1" applyBorder="1"/>
    <xf numFmtId="0" fontId="0" fillId="0" borderId="3" xfId="0" applyNumberFormat="1" applyBorder="1"/>
    <xf numFmtId="0" fontId="0" fillId="0" borderId="4" xfId="0" applyNumberFormat="1" applyBorder="1"/>
    <xf numFmtId="0" fontId="0" fillId="0" borderId="15" xfId="0" applyBorder="1"/>
    <xf numFmtId="0" fontId="0" fillId="0" borderId="16" xfId="0" applyBorder="1"/>
    <xf numFmtId="0" fontId="0" fillId="0" borderId="17" xfId="0" applyBorder="1"/>
    <xf numFmtId="0" fontId="6" fillId="4" borderId="18" xfId="0" applyFont="1" applyFill="1" applyBorder="1"/>
    <xf numFmtId="0" fontId="6" fillId="0" borderId="18" xfId="0" applyFont="1" applyBorder="1"/>
    <xf numFmtId="0" fontId="0" fillId="0" borderId="16" xfId="0" applyNumberFormat="1" applyBorder="1"/>
    <xf numFmtId="0" fontId="0" fillId="0" borderId="17" xfId="0" applyNumberFormat="1" applyBorder="1"/>
    <xf numFmtId="0" fontId="0" fillId="2" borderId="0" xfId="0" applyFill="1" applyAlignment="1">
      <alignment horizontal="center"/>
    </xf>
  </cellXfs>
  <cellStyles count="1">
    <cellStyle name="Normal" xfId="0" builtinId="0"/>
  </cellStyles>
  <dxfs count="112">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164" formatCode="&quot;₹&quot;#,##0.00_);[Red]\(&quot;₹&quot;#,##0.00\)"/>
      <alignment horizontal="center" vertical="center" textRotation="0" wrapText="0" indent="0" justifyLastLine="0" shrinkToFit="0" readingOrder="0"/>
      <border diagonalUp="0" diagonalDown="0">
        <left/>
        <right style="thin">
          <color indexed="64"/>
        </right>
        <vertical/>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164" formatCode="&quot;₹&quot;#,##0.00_);[Red]\(&quot;₹&quot;#,##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164" formatCode="&quot;₹&quot;#,##0.00_);[Red]\(&quot;₹&quot;#,##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164" formatCode="&quot;₹&quot;#,##0.00_);[Red]\(&quot;₹&quot;#,##0.00\)"/>
      <alignment horizontal="center" vertical="center" textRotation="0" wrapText="0" indent="0" justifyLastLine="0" shrinkToFit="0" readingOrder="0"/>
      <border diagonalUp="0" diagonalDown="0">
        <left style="thin">
          <color indexed="64"/>
        </left>
        <right/>
        <vertical/>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164" formatCode="&quot;₹&quot;#,##0.00_);[Red]\(&quot;₹&quot;#,##0.00\)"/>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164" formatCode="&quot;₹&quot;#,##0.00_);[Red]\(&quot;₹&quot;#,##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164" formatCode="&quot;₹&quot;#,##0.00_);[Red]\(&quot;₹&quot;#,##0.00\)"/>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sto MT"/>
        <family val="1"/>
        <scheme val="none"/>
      </font>
      <numFmt numFmtId="164" formatCode="&quot;₹&quot;#,##0.00_);[Red]\(&quot;₹&quot;#,##0.00\)"/>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sto MT"/>
        <family val="1"/>
        <scheme val="none"/>
      </font>
      <numFmt numFmtId="164" formatCode="&quot;₹&quot;#,##0.00_);[Red]\(&quot;₹&quot;#,##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sto MT"/>
        <family val="1"/>
        <scheme val="none"/>
      </font>
      <numFmt numFmtId="164" formatCode="&quot;₹&quot;#,##0.00_);[Red]\(&quot;₹&quot;#,##0.00\)"/>
      <alignment horizontal="center" vertical="center" textRotation="0" wrapText="0" indent="0" justifyLastLine="0" shrinkToFit="0" readingOrder="0"/>
      <border diagonalUp="0" diagonalDown="0">
        <left style="thin">
          <color indexed="64"/>
        </left>
        <right/>
        <top/>
        <bottom/>
        <vertical/>
        <horizontal/>
      </border>
    </dxf>
    <dxf>
      <numFmt numFmtId="164" formatCode="&quot;₹&quot;#,##0.00_);[Red]\(&quot;₹&quot;#,##0.00\)"/>
    </dxf>
    <dxf>
      <font>
        <b val="0"/>
        <i val="0"/>
        <strike val="0"/>
        <condense val="0"/>
        <extend val="0"/>
        <outline val="0"/>
        <shadow val="0"/>
        <u val="none"/>
        <vertAlign val="baseline"/>
        <sz val="11"/>
        <color theme="1"/>
        <name val="Calisto MT"/>
        <family val="1"/>
        <scheme val="none"/>
      </font>
      <numFmt numFmtId="164" formatCode="&quot;₹&quot;#,##0.00_);[Red]\(&quot;₹&quot;#,##0.00\)"/>
      <border diagonalUp="0" diagonalDown="0">
        <left/>
        <right style="thin">
          <color indexed="64"/>
        </right>
        <top/>
        <bottom/>
        <vertical/>
        <horizontal/>
      </border>
    </dxf>
    <dxf>
      <numFmt numFmtId="164" formatCode="&quot;₹&quot;#,##0.00_);[Red]\(&quot;₹&quot;#,##0.00\)"/>
    </dxf>
    <dxf>
      <font>
        <b val="0"/>
        <i val="0"/>
        <strike val="0"/>
        <condense val="0"/>
        <extend val="0"/>
        <outline val="0"/>
        <shadow val="0"/>
        <u val="none"/>
        <vertAlign val="baseline"/>
        <sz val="11"/>
        <color theme="1"/>
        <name val="Calisto MT"/>
        <family val="1"/>
        <scheme val="none"/>
      </font>
      <numFmt numFmtId="164" formatCode="&quot;₹&quot;#,##0.00_);[Red]\(&quot;₹&quot;#,##0.00\)"/>
    </dxf>
    <dxf>
      <numFmt numFmtId="164" formatCode="&quot;₹&quot;#,##0.00_);[Red]\(&quot;₹&quot;#,##0.00\)"/>
    </dxf>
    <dxf>
      <font>
        <b val="0"/>
        <i val="0"/>
        <strike val="0"/>
        <condense val="0"/>
        <extend val="0"/>
        <outline val="0"/>
        <shadow val="0"/>
        <u val="none"/>
        <vertAlign val="baseline"/>
        <sz val="11"/>
        <color theme="1"/>
        <name val="Calisto MT"/>
        <family val="1"/>
        <scheme val="none"/>
      </font>
      <numFmt numFmtId="164" formatCode="&quot;₹&quot;#,##0.00_);[Red]\(&quot;₹&quot;#,##0.00\)"/>
      <border diagonalUp="0" diagonalDown="0">
        <left style="thin">
          <color indexed="64"/>
        </left>
        <right/>
        <top/>
        <bottom/>
        <vertical/>
        <horizontal/>
      </border>
    </dxf>
    <dxf>
      <font>
        <b val="0"/>
        <i val="0"/>
        <strike val="0"/>
        <condense val="0"/>
        <extend val="0"/>
        <outline val="0"/>
        <shadow val="0"/>
        <u val="none"/>
        <vertAlign val="baseline"/>
        <sz val="11"/>
        <color theme="1"/>
        <name val="Calisto MT"/>
        <family val="1"/>
        <scheme val="none"/>
      </font>
    </dxf>
    <dxf>
      <font>
        <b val="0"/>
        <i val="0"/>
        <strike val="0"/>
        <condense val="0"/>
        <extend val="0"/>
        <outline val="0"/>
        <shadow val="0"/>
        <u val="none"/>
        <vertAlign val="baseline"/>
        <sz val="11"/>
        <color rgb="FF000000"/>
        <name val="Calisto MT"/>
        <family val="1"/>
        <scheme val="none"/>
      </font>
    </dxf>
    <dxf>
      <font>
        <b val="0"/>
        <i val="0"/>
        <strike val="0"/>
        <condense val="0"/>
        <extend val="0"/>
        <outline val="0"/>
        <shadow val="0"/>
        <u val="none"/>
        <vertAlign val="baseline"/>
        <sz val="11"/>
        <color theme="1"/>
        <name val="Calisto MT"/>
        <family val="1"/>
        <scheme val="none"/>
      </font>
      <alignment horizontal="center" vertical="center" textRotation="0" wrapText="1" indent="0" justifyLastLine="0" shrinkToFit="0" readingOrder="0"/>
    </dxf>
    <dxf>
      <numFmt numFmtId="166" formatCode="&quot;₹&quot;\ #,##0.00;[Red]&quot;₹&quot;\ #,##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sto MT"/>
        <family val="1"/>
        <scheme val="none"/>
      </font>
      <numFmt numFmtId="166" formatCode="&quot;₹&quot;\ #,##0.00;[Red]&quot;₹&quot;\ #,##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sto MT"/>
        <family val="1"/>
        <scheme val="none"/>
      </font>
      <numFmt numFmtId="0" formatCode="General"/>
      <alignment horizontal="center" vertical="center" textRotation="0" wrapText="0" indent="0" justifyLastLine="0" shrinkToFit="0" readingOrder="0"/>
    </dxf>
    <dxf>
      <numFmt numFmtId="164" formatCode="&quot;₹&quot;#,##0.00_);[Red]\(&quot;₹&quot;#,##0.00\)"/>
      <alignment horizontal="center" vertical="center" textRotation="0" wrapText="0" indent="0" justifyLastLine="0" shrinkToFit="0" readingOrder="0"/>
    </dxf>
    <dxf>
      <font>
        <b val="0"/>
        <i val="0"/>
        <strike val="0"/>
        <condense val="0"/>
        <extend val="0"/>
        <outline val="0"/>
        <shadow val="0"/>
        <u val="none"/>
        <vertAlign val="baseline"/>
        <sz val="11"/>
        <color theme="1"/>
        <name val="Calisto MT"/>
        <family val="1"/>
        <scheme val="none"/>
      </font>
      <numFmt numFmtId="0" formatCode="General"/>
      <alignment horizontal="center" vertical="center" textRotation="0" wrapText="0" indent="0" justifyLastLine="0" shrinkToFit="0" readingOrder="0"/>
    </dxf>
    <dxf>
      <numFmt numFmtId="164" formatCode="&quot;₹&quot;#,##0.00_);[Red]\(&quot;₹&quot;#,##0.00\)"/>
      <alignment horizontal="center" vertical="center" textRotation="0" wrapText="0" indent="0" justifyLastLine="0" shrinkToFit="0" readingOrder="0"/>
    </dxf>
    <dxf>
      <font>
        <b val="0"/>
        <i val="0"/>
        <strike val="0"/>
        <condense val="0"/>
        <extend val="0"/>
        <outline val="0"/>
        <shadow val="0"/>
        <u val="none"/>
        <vertAlign val="baseline"/>
        <sz val="11"/>
        <color theme="1"/>
        <name val="Calisto MT"/>
        <family val="1"/>
        <scheme val="none"/>
      </font>
      <numFmt numFmtId="0" formatCode="General"/>
      <alignment horizontal="center" vertical="center" textRotation="0" wrapText="0" indent="0" justifyLastLine="0" shrinkToFit="0" readingOrder="0"/>
    </dxf>
    <dxf>
      <numFmt numFmtId="164" formatCode="&quot;₹&quot;#,##0.00_);[Red]\(&quot;₹&quot;#,##0.00\)"/>
      <alignment horizontal="center" vertical="center" textRotation="0" wrapText="0" indent="0" justifyLastLine="0" shrinkToFit="0" readingOrder="0"/>
    </dxf>
    <dxf>
      <font>
        <b val="0"/>
        <i val="0"/>
        <strike val="0"/>
        <condense val="0"/>
        <extend val="0"/>
        <outline val="0"/>
        <shadow val="0"/>
        <u val="none"/>
        <vertAlign val="baseline"/>
        <sz val="11"/>
        <color theme="1"/>
        <name val="Calisto MT"/>
        <family val="1"/>
        <scheme val="none"/>
      </font>
      <numFmt numFmtId="0" formatCode="General"/>
      <alignment horizontal="center" vertical="center" textRotation="0" wrapText="0" indent="0" justifyLastLine="0" shrinkToFit="0" readingOrder="0"/>
    </dxf>
    <dxf>
      <numFmt numFmtId="164" formatCode="&quot;₹&quot;#,##0.00_);[Red]\(&quot;₹&quot;#,##0.00\)"/>
    </dxf>
    <dxf>
      <font>
        <b val="0"/>
        <i val="0"/>
        <strike val="0"/>
        <condense val="0"/>
        <extend val="0"/>
        <outline val="0"/>
        <shadow val="0"/>
        <u val="none"/>
        <vertAlign val="baseline"/>
        <sz val="11"/>
        <color theme="1"/>
        <name val="Calisto MT"/>
        <family val="1"/>
        <scheme val="none"/>
      </font>
      <numFmt numFmtId="164" formatCode="&quot;₹&quot;#,##0.00_);[Red]\(&quot;₹&quot;#,##0.00\)"/>
    </dxf>
    <dxf>
      <numFmt numFmtId="164" formatCode="&quot;₹&quot;#,##0.00_);[Red]\(&quot;₹&quot;#,##0.00\)"/>
    </dxf>
    <dxf>
      <font>
        <b val="0"/>
        <i val="0"/>
        <strike val="0"/>
        <condense val="0"/>
        <extend val="0"/>
        <outline val="0"/>
        <shadow val="0"/>
        <u val="none"/>
        <vertAlign val="baseline"/>
        <sz val="11"/>
        <color theme="1"/>
        <name val="Calisto MT"/>
        <family val="1"/>
        <scheme val="none"/>
      </font>
      <numFmt numFmtId="164" formatCode="&quot;₹&quot;#,##0.00_);[Red]\(&quot;₹&quot;#,##0.00\)"/>
    </dxf>
    <dxf>
      <numFmt numFmtId="164" formatCode="&quot;₹&quot;#,##0.00_);[Red]\(&quot;₹&quot;#,##0.00\)"/>
    </dxf>
    <dxf>
      <font>
        <b val="0"/>
        <i val="0"/>
        <strike val="0"/>
        <condense val="0"/>
        <extend val="0"/>
        <outline val="0"/>
        <shadow val="0"/>
        <u val="none"/>
        <vertAlign val="baseline"/>
        <sz val="11"/>
        <color theme="1"/>
        <name val="Calisto MT"/>
        <family val="1"/>
        <scheme val="none"/>
      </font>
      <numFmt numFmtId="164" formatCode="&quot;₹&quot;#,##0.00_);[Red]\(&quot;₹&quot;#,##0.00\)"/>
    </dxf>
    <dxf>
      <font>
        <b val="0"/>
        <i val="0"/>
        <strike val="0"/>
        <condense val="0"/>
        <extend val="0"/>
        <outline val="0"/>
        <shadow val="0"/>
        <u val="none"/>
        <vertAlign val="baseline"/>
        <sz val="11"/>
        <color theme="1"/>
        <name val="Calisto MT"/>
        <family val="1"/>
        <scheme val="none"/>
      </font>
    </dxf>
    <dxf>
      <font>
        <b val="0"/>
        <i val="0"/>
        <strike val="0"/>
        <condense val="0"/>
        <extend val="0"/>
        <outline val="0"/>
        <shadow val="0"/>
        <u val="none"/>
        <vertAlign val="baseline"/>
        <sz val="11"/>
        <color rgb="FF000000"/>
        <name val="Calisto MT"/>
        <family val="1"/>
        <scheme val="none"/>
      </font>
    </dxf>
    <dxf>
      <font>
        <b val="0"/>
        <i val="0"/>
        <strike val="0"/>
        <condense val="0"/>
        <extend val="0"/>
        <outline val="0"/>
        <shadow val="0"/>
        <u val="none"/>
        <vertAlign val="baseline"/>
        <sz val="11"/>
        <color theme="1"/>
        <name val="Calisto MT"/>
        <family val="1"/>
        <scheme val="none"/>
      </font>
      <alignment horizontal="center" vertical="center" textRotation="0" wrapText="1" indent="0" justifyLastLine="0" shrinkToFit="0" readingOrder="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numFmt numFmtId="165" formatCode="&quot;₹&quot;\ #,##0.00"/>
    </dxf>
    <dxf>
      <font>
        <b/>
        <i val="0"/>
        <sz val="12"/>
        <color theme="1" tint="0.14996795556505021"/>
        <name val="AbadiMT"/>
        <family val="2"/>
        <scheme val="none"/>
      </font>
      <border diagonalUp="0" diagonalDown="0">
        <left/>
        <right/>
        <top/>
        <bottom/>
        <vertical/>
        <horizontal/>
      </border>
    </dxf>
    <dxf>
      <font>
        <color theme="1" tint="4.9989318521683403E-2"/>
        <name val="AbadiMT-Bold"/>
        <family val="2"/>
        <scheme val="none"/>
      </font>
      <fill>
        <patternFill patternType="none">
          <bgColor auto="1"/>
        </patternFill>
      </fill>
      <border diagonalUp="0" diagonalDown="0">
        <left/>
        <right/>
        <top/>
        <bottom/>
        <vertical/>
        <horizontal/>
      </border>
    </dxf>
    <dxf>
      <font>
        <b/>
        <i val="0"/>
        <sz val="12"/>
        <color theme="1" tint="0.14996795556505021"/>
        <name val="AbadiMT"/>
        <family val="2"/>
        <scheme val="none"/>
      </font>
      <border diagonalUp="0" diagonalDown="0">
        <left/>
        <right/>
        <top/>
        <bottom/>
        <vertical/>
        <horizontal/>
      </border>
    </dxf>
    <dxf>
      <font>
        <color theme="1" tint="4.9989318521683403E-2"/>
        <name val="AbadiMT-Bold"/>
        <family val="2"/>
        <scheme val="none"/>
      </font>
      <fill>
        <patternFill patternType="none">
          <bgColor auto="1"/>
        </patternFill>
      </fill>
      <border diagonalUp="0" diagonalDown="0">
        <left/>
        <right/>
        <top/>
        <bottom/>
        <vertical/>
        <horizontal/>
      </border>
    </dxf>
  </dxfs>
  <tableStyles count="2" defaultTableStyle="TableStyleMedium2" defaultPivotStyle="PivotStyleLight16">
    <tableStyle name="Custom Formatting" pivot="0" table="0" count="10" xr9:uid="{9AFB76EA-463C-4CAD-A280-2E9DBA391CE2}">
      <tableStyleElement type="wholeTable" dxfId="111"/>
      <tableStyleElement type="headerRow" dxfId="110"/>
    </tableStyle>
    <tableStyle name="Custom Formatting 2" pivot="0" table="0" count="10" xr9:uid="{8D41B1A4-0991-4273-B771-D3499DCF84E0}">
      <tableStyleElement type="wholeTable" dxfId="109"/>
      <tableStyleElement type="headerRow" dxfId="108"/>
    </tableStyle>
  </tableStyles>
  <colors>
    <mruColors>
      <color rgb="FF312B39"/>
      <color rgb="FF312B57"/>
      <color rgb="FF9ECAC4"/>
      <color rgb="FF57A197"/>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1" tint="0.14990691854609822"/>
            <name val="AbadiMT"/>
            <family val="2"/>
            <scheme val="none"/>
          </font>
          <fill>
            <patternFill patternType="solid">
              <fgColor auto="1"/>
              <bgColor theme="7" tint="0.5999633777886288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1"/>
            <color theme="0" tint="-0.24994659260841701"/>
            <name val="AbadiMT"/>
            <family val="2"/>
            <scheme val="none"/>
          </font>
          <fill>
            <patternFill patternType="none">
              <fgColor indexed="64"/>
              <bgColor auto="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1" tint="0.14990691854609822"/>
            <name val="AbadiMT"/>
            <family val="2"/>
            <scheme val="none"/>
          </font>
          <fill>
            <patternFill patternType="solid">
              <fgColor auto="1"/>
              <bgColor theme="7" tint="0.5999633777886288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1"/>
            <color theme="0" tint="-0.24994659260841701"/>
            <name val="AbadiMT"/>
            <family val="2"/>
            <scheme val="none"/>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tom Formatting">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tom Formatting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Scroll" dx="31" fmlaLink="FinalAnalysis!$H$79" max="11" min="1" page="3"/>
</file>

<file path=xl/ctrlProps/ctrlProp2.xml><?xml version="1.0" encoding="utf-8"?>
<formControlPr xmlns="http://schemas.microsoft.com/office/spreadsheetml/2009/9/main" objectType="Scroll" dx="31" fmlaLink="FinalAnalysis!$M$79" max="11" min="1" page="3" val="11"/>
</file>

<file path=xl/ctrlProps/ctrlProp3.xml><?xml version="1.0" encoding="utf-8"?>
<formControlPr xmlns="http://schemas.microsoft.com/office/spreadsheetml/2009/9/main" objectType="Scroll" dx="31" fmlaLink="FinalAnalysis!$R$79" max="10" min="1" page="3"/>
</file>

<file path=xl/ctrlProps/ctrlProp4.xml><?xml version="1.0" encoding="utf-8"?>
<formControlPr xmlns="http://schemas.microsoft.com/office/spreadsheetml/2009/9/main" objectType="Scroll" dx="31" fmlaLink="FinalAnalysis!$C$106" max="6" min="1" page="3"/>
</file>

<file path=xl/ctrlProps/ctrlProp5.xml><?xml version="1.0" encoding="utf-8"?>
<formControlPr xmlns="http://schemas.microsoft.com/office/spreadsheetml/2009/9/main" objectType="Scroll" dx="31" fmlaLink="FinalAnalysis!$H$106" max="6" min="1" page="3"/>
</file>

<file path=xl/ctrlProps/ctrlProp6.xml><?xml version="1.0" encoding="utf-8"?>
<formControlPr xmlns="http://schemas.microsoft.com/office/spreadsheetml/2009/9/main" objectType="Scroll" dx="31" fmlaLink="FinalAnalysis!$M$106" max="7" min="1" page="3"/>
</file>

<file path=xl/ctrlProps/ctrlProp7.xml><?xml version="1.0" encoding="utf-8"?>
<formControlPr xmlns="http://schemas.microsoft.com/office/spreadsheetml/2009/9/main" objectType="Scroll" dx="31" fmlaLink="FinalAnalysis!$R$106" max="6" min="1" page="3"/>
</file>

<file path=xl/ctrlProps/ctrlProp8.xml><?xml version="1.0" encoding="utf-8"?>
<formControlPr xmlns="http://schemas.microsoft.com/office/spreadsheetml/2009/9/main" objectType="Scroll" dx="31" fmlaLink="FinalAnalysis!$C$129" max="6" min="1" page="3"/>
</file>

<file path=xl/ctrlProps/ctrlProp9.xml><?xml version="1.0" encoding="utf-8"?>
<formControlPr xmlns="http://schemas.microsoft.com/office/spreadsheetml/2009/9/main" objectType="Scroll" dx="31" fmlaLink="FinalAnalysis!$H$129" max="6" min="1" page="3"/>
</file>

<file path=xl/ctrlProps/ctrlProp10.xml><?xml version="1.0" encoding="utf-8"?>
<formControlPr xmlns="http://schemas.microsoft.com/office/spreadsheetml/2009/9/main" objectType="Scroll" dx="31" fmlaLink="FinalAnalysis!$M$129" max="6" min="1" page="3"/>
</file>

<file path=xl/ctrlProps/ctrlProp11.xml><?xml version="1.0" encoding="utf-8"?>
<formControlPr xmlns="http://schemas.microsoft.com/office/spreadsheetml/2009/9/main" objectType="Scroll" dx="31" fmlaLink="FinalAnalysis!$R$129" max="6" min="1" page="3"/>
</file>

<file path=xl/ctrlProps/ctrlProp12.xml><?xml version="1.0" encoding="utf-8"?>
<formControlPr xmlns="http://schemas.microsoft.com/office/spreadsheetml/2009/9/main" objectType="Scroll" dx="31" fmlaLink="FinalAnalysis!$C$152" max="6" min="1" page="3"/>
</file>

<file path=xl/ctrlProps/ctrlProp13.xml><?xml version="1.0" encoding="utf-8"?>
<formControlPr xmlns="http://schemas.microsoft.com/office/spreadsheetml/2009/9/main" objectType="Scroll" dx="31" fmlaLink="FinalAnalysis!$C$79" max="11" min="1" page="3"/>
</file>

<file path=xl/ctrlProps/ctrlProp14.xml><?xml version="1.0" encoding="utf-8"?>
<formControlPr xmlns="http://schemas.microsoft.com/office/spreadsheetml/2009/9/main" objectType="Scroll" dx="31" fmlaLink="FinalAnalysis!$B$206" max="100" min="1" page="10" val="13"/>
</file>

<file path=xl/ctrlProps/ctrlProp15.xml><?xml version="1.0" encoding="utf-8"?>
<formControlPr xmlns="http://schemas.microsoft.com/office/spreadsheetml/2009/9/main" objectType="Scroll" dx="31" fmlaLink="FinalAnalysis!$E$207" max="10" min="1" page="5"/>
</file>

<file path=xl/ctrlProps/ctrlProp16.xml><?xml version="1.0" encoding="utf-8"?>
<formControlPr xmlns="http://schemas.microsoft.com/office/spreadsheetml/2009/9/main" objectType="Scroll" dx="31" fmlaLink="FinalAnalysis!$G$207" max="10" min="1" page="5"/>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ashboard!A5"/><Relationship Id="rId3" Type="http://schemas.openxmlformats.org/officeDocument/2006/relationships/hyperlink" Target="#'Town_Edu Dashboard'!A1"/><Relationship Id="rId7" Type="http://schemas.openxmlformats.org/officeDocument/2006/relationships/hyperlink" Target="#Dashboard!M133"/><Relationship Id="rId12" Type="http://schemas.openxmlformats.org/officeDocument/2006/relationships/hyperlink" Target="#Dashboard!M161"/><Relationship Id="rId2"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hyperlink" Target="#Dashboard!M104"/><Relationship Id="rId11" Type="http://schemas.openxmlformats.org/officeDocument/2006/relationships/image" Target="../media/image5.svg"/><Relationship Id="rId5" Type="http://schemas.openxmlformats.org/officeDocument/2006/relationships/hyperlink" Target="#Dashboard!M78"/><Relationship Id="rId15" Type="http://schemas.openxmlformats.org/officeDocument/2006/relationships/image" Target="../media/image7.png"/><Relationship Id="rId10" Type="http://schemas.openxmlformats.org/officeDocument/2006/relationships/image" Target="../media/image4.png"/><Relationship Id="rId4" Type="http://schemas.openxmlformats.org/officeDocument/2006/relationships/hyperlink" Target="#Dashboard!M50"/><Relationship Id="rId9" Type="http://schemas.openxmlformats.org/officeDocument/2006/relationships/image" Target="../media/image3.svg"/><Relationship Id="rId14"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ashboard!A1"/><Relationship Id="rId3" Type="http://schemas.openxmlformats.org/officeDocument/2006/relationships/hyperlink" Target="#'Town_Edu Dashboard'!A1"/><Relationship Id="rId7" Type="http://schemas.openxmlformats.org/officeDocument/2006/relationships/hyperlink" Target="#Dashboard!M133"/><Relationship Id="rId12" Type="http://schemas.openxmlformats.org/officeDocument/2006/relationships/hyperlink" Target="#Dashboard!M161"/><Relationship Id="rId2" Type="http://schemas.openxmlformats.org/officeDocument/2006/relationships/hyperlink" Target="#Dashboard!A5"/><Relationship Id="rId1" Type="http://schemas.openxmlformats.org/officeDocument/2006/relationships/image" Target="../media/image1.png"/><Relationship Id="rId6" Type="http://schemas.openxmlformats.org/officeDocument/2006/relationships/hyperlink" Target="#Dashboard!M104"/><Relationship Id="rId11" Type="http://schemas.openxmlformats.org/officeDocument/2006/relationships/image" Target="../media/image5.svg"/><Relationship Id="rId5" Type="http://schemas.openxmlformats.org/officeDocument/2006/relationships/hyperlink" Target="#Dashboard!M78"/><Relationship Id="rId10" Type="http://schemas.openxmlformats.org/officeDocument/2006/relationships/image" Target="../media/image4.png"/><Relationship Id="rId4" Type="http://schemas.openxmlformats.org/officeDocument/2006/relationships/hyperlink" Target="#Dashboard!M50"/><Relationship Id="rId9"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xdr:from>
      <xdr:col>20</xdr:col>
      <xdr:colOff>763958</xdr:colOff>
      <xdr:row>102</xdr:row>
      <xdr:rowOff>116283</xdr:rowOff>
    </xdr:from>
    <xdr:to>
      <xdr:col>22</xdr:col>
      <xdr:colOff>409704</xdr:colOff>
      <xdr:row>104</xdr:row>
      <xdr:rowOff>166766</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5299108" y="19077383"/>
          <a:ext cx="1684096" cy="44418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27</xdr:col>
      <xdr:colOff>190500</xdr:colOff>
      <xdr:row>4</xdr:row>
      <xdr:rowOff>52917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0" y="0"/>
          <a:ext cx="20346276" cy="797400"/>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16711</xdr:rowOff>
    </xdr:from>
    <xdr:to>
      <xdr:col>21</xdr:col>
      <xdr:colOff>54742</xdr:colOff>
      <xdr:row>4</xdr:row>
      <xdr:rowOff>50132</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0" y="16711"/>
          <a:ext cx="15377292" cy="770021"/>
        </a:xfrm>
        <a:prstGeom prst="roundRect">
          <a:avLst/>
        </a:prstGeom>
        <a:solidFill>
          <a:schemeClr val="accent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282274</xdr:colOff>
      <xdr:row>0</xdr:row>
      <xdr:rowOff>144150</xdr:rowOff>
    </xdr:from>
    <xdr:ext cx="7042150" cy="388376"/>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802974" y="144150"/>
          <a:ext cx="7042150" cy="3883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r>
            <a:rPr lang="en-IN" sz="2000">
              <a:solidFill>
                <a:schemeClr val="bg1"/>
              </a:solidFill>
              <a:latin typeface="Calisto MT" panose="02040603050505030304" pitchFamily="18" charset="0"/>
            </a:rPr>
            <a:t>NEW LIFE MATRICULATION ACADEMY</a:t>
          </a:r>
        </a:p>
      </xdr:txBody>
    </xdr:sp>
    <xdr:clientData/>
  </xdr:oneCellAnchor>
  <xdr:twoCellAnchor editAs="oneCell">
    <xdr:from>
      <xdr:col>0</xdr:col>
      <xdr:colOff>142957</xdr:colOff>
      <xdr:row>0</xdr:row>
      <xdr:rowOff>137800</xdr:rowOff>
    </xdr:from>
    <xdr:to>
      <xdr:col>1</xdr:col>
      <xdr:colOff>140149</xdr:colOff>
      <xdr:row>3</xdr:row>
      <xdr:rowOff>11187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142957" y="137800"/>
          <a:ext cx="517892" cy="425837"/>
        </a:xfrm>
        <a:prstGeom prst="rect">
          <a:avLst/>
        </a:prstGeom>
      </xdr:spPr>
    </xdr:pic>
    <xdr:clientData/>
  </xdr:twoCellAnchor>
  <xdr:twoCellAnchor>
    <xdr:from>
      <xdr:col>18</xdr:col>
      <xdr:colOff>515268</xdr:colOff>
      <xdr:row>92</xdr:row>
      <xdr:rowOff>71552</xdr:rowOff>
    </xdr:from>
    <xdr:to>
      <xdr:col>19</xdr:col>
      <xdr:colOff>527329</xdr:colOff>
      <xdr:row>93</xdr:row>
      <xdr:rowOff>134202</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3831218" y="17146702"/>
          <a:ext cx="621661" cy="253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chemeClr val="bg1"/>
              </a:solidFill>
              <a:latin typeface="Abadi" panose="020B0604020104020204" pitchFamily="34" charset="0"/>
              <a:ea typeface="+mn-ea"/>
              <a:cs typeface="+mn-cs"/>
            </a:rPr>
            <a:t>Students</a:t>
          </a:r>
        </a:p>
      </xdr:txBody>
    </xdr:sp>
    <xdr:clientData/>
  </xdr:twoCellAnchor>
  <xdr:oneCellAnchor>
    <xdr:from>
      <xdr:col>10</xdr:col>
      <xdr:colOff>262063</xdr:colOff>
      <xdr:row>47</xdr:row>
      <xdr:rowOff>161269</xdr:rowOff>
    </xdr:from>
    <xdr:ext cx="184731" cy="265265"/>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789863" y="8873469"/>
          <a:ext cx="184731" cy="265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mc:AlternateContent xmlns:mc="http://schemas.openxmlformats.org/markup-compatibility/2006">
    <mc:Choice xmlns:a14="http://schemas.microsoft.com/office/drawing/2010/main" Requires="a14">
      <xdr:twoCellAnchor editAs="oneCell">
        <xdr:from>
          <xdr:col>15</xdr:col>
          <xdr:colOff>228600</xdr:colOff>
          <xdr:row>32</xdr:row>
          <xdr:rowOff>31750</xdr:rowOff>
        </xdr:from>
        <xdr:to>
          <xdr:col>15</xdr:col>
          <xdr:colOff>419100</xdr:colOff>
          <xdr:row>39</xdr:row>
          <xdr:rowOff>44450</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254000</xdr:colOff>
          <xdr:row>32</xdr:row>
          <xdr:rowOff>25400</xdr:rowOff>
        </xdr:from>
        <xdr:to>
          <xdr:col>24</xdr:col>
          <xdr:colOff>425450</xdr:colOff>
          <xdr:row>39</xdr:row>
          <xdr:rowOff>31750</xdr:rowOff>
        </xdr:to>
        <xdr:sp macro="" textlink="">
          <xdr:nvSpPr>
            <xdr:cNvPr id="8194" name="Scroll Bar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120650</xdr:colOff>
          <xdr:row>58</xdr:row>
          <xdr:rowOff>127000</xdr:rowOff>
        </xdr:from>
        <xdr:to>
          <xdr:col>8</xdr:col>
          <xdr:colOff>88900</xdr:colOff>
          <xdr:row>66</xdr:row>
          <xdr:rowOff>50800</xdr:rowOff>
        </xdr:to>
        <xdr:sp macro="" textlink="">
          <xdr:nvSpPr>
            <xdr:cNvPr id="8195" name="Scroll Bar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177800</xdr:colOff>
          <xdr:row>58</xdr:row>
          <xdr:rowOff>152400</xdr:rowOff>
        </xdr:from>
        <xdr:to>
          <xdr:col>15</xdr:col>
          <xdr:colOff>374650</xdr:colOff>
          <xdr:row>66</xdr:row>
          <xdr:rowOff>69850</xdr:rowOff>
        </xdr:to>
        <xdr:sp macro="" textlink="">
          <xdr:nvSpPr>
            <xdr:cNvPr id="8196" name="Scroll Bar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215900</xdr:colOff>
          <xdr:row>58</xdr:row>
          <xdr:rowOff>133350</xdr:rowOff>
        </xdr:from>
        <xdr:to>
          <xdr:col>24</xdr:col>
          <xdr:colOff>419100</xdr:colOff>
          <xdr:row>66</xdr:row>
          <xdr:rowOff>31750</xdr:rowOff>
        </xdr:to>
        <xdr:sp macro="" textlink="">
          <xdr:nvSpPr>
            <xdr:cNvPr id="8197" name="Scroll Bar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85</xdr:row>
          <xdr:rowOff>133350</xdr:rowOff>
        </xdr:from>
        <xdr:to>
          <xdr:col>8</xdr:col>
          <xdr:colOff>107950</xdr:colOff>
          <xdr:row>93</xdr:row>
          <xdr:rowOff>120650</xdr:rowOff>
        </xdr:to>
        <xdr:sp macro="" textlink="">
          <xdr:nvSpPr>
            <xdr:cNvPr id="8198" name="Scroll Bar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7381</xdr:colOff>
      <xdr:row>4</xdr:row>
      <xdr:rowOff>51126</xdr:rowOff>
    </xdr:from>
    <xdr:to>
      <xdr:col>27</xdr:col>
      <xdr:colOff>132420</xdr:colOff>
      <xdr:row>21</xdr:row>
      <xdr:rowOff>115177</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7381" y="795609"/>
          <a:ext cx="20280815" cy="3228102"/>
          <a:chOff x="7381" y="751817"/>
          <a:chExt cx="20280815" cy="3228102"/>
        </a:xfrm>
      </xdr:grpSpPr>
      <xdr:grpSp>
        <xdr:nvGrpSpPr>
          <xdr:cNvPr id="20" name="Group 19">
            <a:extLst>
              <a:ext uri="{FF2B5EF4-FFF2-40B4-BE49-F238E27FC236}">
                <a16:creationId xmlns:a16="http://schemas.microsoft.com/office/drawing/2014/main" id="{00000000-0008-0000-0000-000014000000}"/>
              </a:ext>
            </a:extLst>
          </xdr:cNvPr>
          <xdr:cNvGrpSpPr/>
        </xdr:nvGrpSpPr>
        <xdr:grpSpPr>
          <a:xfrm>
            <a:off x="7381" y="751817"/>
            <a:ext cx="20280815" cy="3228102"/>
            <a:chOff x="7381" y="751817"/>
            <a:chExt cx="20280815" cy="3228102"/>
          </a:xfrm>
        </xdr:grpSpPr>
        <xdr:grpSp>
          <xdr:nvGrpSpPr>
            <xdr:cNvPr id="24" name="Group 23">
              <a:extLst>
                <a:ext uri="{FF2B5EF4-FFF2-40B4-BE49-F238E27FC236}">
                  <a16:creationId xmlns:a16="http://schemas.microsoft.com/office/drawing/2014/main" id="{00000000-0008-0000-0000-000018000000}"/>
                </a:ext>
              </a:extLst>
            </xdr:cNvPr>
            <xdr:cNvGrpSpPr/>
          </xdr:nvGrpSpPr>
          <xdr:grpSpPr>
            <a:xfrm>
              <a:off x="7381" y="751817"/>
              <a:ext cx="20280815" cy="3228102"/>
              <a:chOff x="7381" y="751817"/>
              <a:chExt cx="20280815" cy="3228102"/>
            </a:xfrm>
          </xdr:grpSpPr>
          <xdr:grpSp>
            <xdr:nvGrpSpPr>
              <xdr:cNvPr id="33" name="Group 32">
                <a:extLst>
                  <a:ext uri="{FF2B5EF4-FFF2-40B4-BE49-F238E27FC236}">
                    <a16:creationId xmlns:a16="http://schemas.microsoft.com/office/drawing/2014/main" id="{00000000-0008-0000-0000-000021000000}"/>
                  </a:ext>
                </a:extLst>
              </xdr:cNvPr>
              <xdr:cNvGrpSpPr/>
            </xdr:nvGrpSpPr>
            <xdr:grpSpPr>
              <a:xfrm>
                <a:off x="7381" y="751817"/>
                <a:ext cx="20280815" cy="3228102"/>
                <a:chOff x="7381" y="751817"/>
                <a:chExt cx="20280815" cy="3228102"/>
              </a:xfrm>
            </xdr:grpSpPr>
            <xdr:grpSp>
              <xdr:nvGrpSpPr>
                <xdr:cNvPr id="36" name="Group 35">
                  <a:extLst>
                    <a:ext uri="{FF2B5EF4-FFF2-40B4-BE49-F238E27FC236}">
                      <a16:creationId xmlns:a16="http://schemas.microsoft.com/office/drawing/2014/main" id="{00000000-0008-0000-0000-000024000000}"/>
                    </a:ext>
                  </a:extLst>
                </xdr:cNvPr>
                <xdr:cNvGrpSpPr/>
              </xdr:nvGrpSpPr>
              <xdr:grpSpPr>
                <a:xfrm>
                  <a:off x="7381" y="751817"/>
                  <a:ext cx="20280815" cy="3228102"/>
                  <a:chOff x="7381" y="751817"/>
                  <a:chExt cx="20280815" cy="3228102"/>
                </a:xfrm>
              </xdr:grpSpPr>
              <xdr:grpSp>
                <xdr:nvGrpSpPr>
                  <xdr:cNvPr id="74" name="Group 73">
                    <a:extLst>
                      <a:ext uri="{FF2B5EF4-FFF2-40B4-BE49-F238E27FC236}">
                        <a16:creationId xmlns:a16="http://schemas.microsoft.com/office/drawing/2014/main" id="{00000000-0008-0000-0000-00004A000000}"/>
                      </a:ext>
                    </a:extLst>
                  </xdr:cNvPr>
                  <xdr:cNvGrpSpPr/>
                </xdr:nvGrpSpPr>
                <xdr:grpSpPr>
                  <a:xfrm>
                    <a:off x="7381" y="751817"/>
                    <a:ext cx="20280815" cy="3228102"/>
                    <a:chOff x="7381" y="751817"/>
                    <a:chExt cx="20280815" cy="3228102"/>
                  </a:xfrm>
                </xdr:grpSpPr>
                <xdr:grpSp>
                  <xdr:nvGrpSpPr>
                    <xdr:cNvPr id="76" name="Group 75">
                      <a:extLst>
                        <a:ext uri="{FF2B5EF4-FFF2-40B4-BE49-F238E27FC236}">
                          <a16:creationId xmlns:a16="http://schemas.microsoft.com/office/drawing/2014/main" id="{00000000-0008-0000-0000-00004C000000}"/>
                        </a:ext>
                      </a:extLst>
                    </xdr:cNvPr>
                    <xdr:cNvGrpSpPr/>
                  </xdr:nvGrpSpPr>
                  <xdr:grpSpPr>
                    <a:xfrm>
                      <a:off x="7381" y="751817"/>
                      <a:ext cx="20280815" cy="3228102"/>
                      <a:chOff x="7381" y="751817"/>
                      <a:chExt cx="20280815" cy="3228102"/>
                    </a:xfrm>
                  </xdr:grpSpPr>
                  <xdr:sp macro="" textlink="">
                    <xdr:nvSpPr>
                      <xdr:cNvPr id="153" name="Rectangle 152">
                        <a:extLst>
                          <a:ext uri="{FF2B5EF4-FFF2-40B4-BE49-F238E27FC236}">
                            <a16:creationId xmlns:a16="http://schemas.microsoft.com/office/drawing/2014/main" id="{00000000-0008-0000-0000-000099000000}"/>
                          </a:ext>
                        </a:extLst>
                      </xdr:cNvPr>
                      <xdr:cNvSpPr/>
                    </xdr:nvSpPr>
                    <xdr:spPr>
                      <a:xfrm>
                        <a:off x="7381" y="751817"/>
                        <a:ext cx="1654846" cy="47429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54" name="Group 153">
                        <a:extLst>
                          <a:ext uri="{FF2B5EF4-FFF2-40B4-BE49-F238E27FC236}">
                            <a16:creationId xmlns:a16="http://schemas.microsoft.com/office/drawing/2014/main" id="{00000000-0008-0000-0000-00009A000000}"/>
                          </a:ext>
                        </a:extLst>
                      </xdr:cNvPr>
                      <xdr:cNvGrpSpPr/>
                    </xdr:nvGrpSpPr>
                    <xdr:grpSpPr>
                      <a:xfrm>
                        <a:off x="18143" y="851807"/>
                        <a:ext cx="20270053" cy="3128112"/>
                        <a:chOff x="18143" y="851807"/>
                        <a:chExt cx="20270053" cy="3128112"/>
                      </a:xfrm>
                    </xdr:grpSpPr>
                    <xdr:sp macro="" textlink="">
                      <xdr:nvSpPr>
                        <xdr:cNvPr id="155" name="Rectangle: Rounded Corners 154">
                          <a:extLst>
                            <a:ext uri="{FF2B5EF4-FFF2-40B4-BE49-F238E27FC236}">
                              <a16:creationId xmlns:a16="http://schemas.microsoft.com/office/drawing/2014/main" id="{00000000-0008-0000-0000-00009B000000}"/>
                            </a:ext>
                          </a:extLst>
                        </xdr:cNvPr>
                        <xdr:cNvSpPr/>
                      </xdr:nvSpPr>
                      <xdr:spPr>
                        <a:xfrm>
                          <a:off x="18143" y="851807"/>
                          <a:ext cx="20270053" cy="3128112"/>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56" name="Group 155">
                          <a:extLst>
                            <a:ext uri="{FF2B5EF4-FFF2-40B4-BE49-F238E27FC236}">
                              <a16:creationId xmlns:a16="http://schemas.microsoft.com/office/drawing/2014/main" id="{00000000-0008-0000-0000-00009C000000}"/>
                            </a:ext>
                          </a:extLst>
                        </xdr:cNvPr>
                        <xdr:cNvGrpSpPr/>
                      </xdr:nvGrpSpPr>
                      <xdr:grpSpPr>
                        <a:xfrm>
                          <a:off x="16159657" y="871067"/>
                          <a:ext cx="3108897" cy="359955"/>
                          <a:chOff x="16159657" y="871067"/>
                          <a:chExt cx="3108897" cy="359955"/>
                        </a:xfrm>
                      </xdr:grpSpPr>
                      <xdr:grpSp>
                        <xdr:nvGrpSpPr>
                          <xdr:cNvPr id="157" name="Group 156">
                            <a:extLst>
                              <a:ext uri="{FF2B5EF4-FFF2-40B4-BE49-F238E27FC236}">
                                <a16:creationId xmlns:a16="http://schemas.microsoft.com/office/drawing/2014/main" id="{00000000-0008-0000-0000-00009D000000}"/>
                              </a:ext>
                            </a:extLst>
                          </xdr:cNvPr>
                          <xdr:cNvGrpSpPr/>
                        </xdr:nvGrpSpPr>
                        <xdr:grpSpPr>
                          <a:xfrm>
                            <a:off x="16159657" y="877079"/>
                            <a:ext cx="1378747" cy="353943"/>
                            <a:chOff x="16159657" y="877079"/>
                            <a:chExt cx="1378747" cy="353943"/>
                          </a:xfrm>
                        </xdr:grpSpPr>
                        <xdr:sp macro="" textlink="">
                          <xdr:nvSpPr>
                            <xdr:cNvPr id="161" name="Rectangle: Rounded Corners 160">
                              <a:extLst>
                                <a:ext uri="{FF2B5EF4-FFF2-40B4-BE49-F238E27FC236}">
                                  <a16:creationId xmlns:a16="http://schemas.microsoft.com/office/drawing/2014/main" id="{00000000-0008-0000-0000-0000A1000000}"/>
                                </a:ext>
                              </a:extLst>
                            </xdr:cNvPr>
                            <xdr:cNvSpPr/>
                          </xdr:nvSpPr>
                          <xdr:spPr>
                            <a:xfrm rot="16200000">
                              <a:off x="16687231" y="375033"/>
                              <a:ext cx="323599" cy="1378747"/>
                            </a:xfrm>
                            <a:prstGeom prst="roundRect">
                              <a:avLst/>
                            </a:prstGeom>
                            <a:solidFill>
                              <a:srgbClr val="9ECAC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2" name="TextBox 161">
                              <a:hlinkClick xmlns:r="http://schemas.openxmlformats.org/officeDocument/2006/relationships" r:id="rId2"/>
                              <a:extLst>
                                <a:ext uri="{FF2B5EF4-FFF2-40B4-BE49-F238E27FC236}">
                                  <a16:creationId xmlns:a16="http://schemas.microsoft.com/office/drawing/2014/main" id="{00000000-0008-0000-0000-0000A2000000}"/>
                                </a:ext>
                              </a:extLst>
                            </xdr:cNvPr>
                            <xdr:cNvSpPr txBox="1"/>
                          </xdr:nvSpPr>
                          <xdr:spPr>
                            <a:xfrm>
                              <a:off x="16283733" y="877079"/>
                              <a:ext cx="1244455" cy="353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800" b="0" i="1">
                                  <a:solidFill>
                                    <a:srgbClr val="002060"/>
                                  </a:solidFill>
                                  <a:latin typeface="Abadi" panose="020B0604020104020204" pitchFamily="34" charset="0"/>
                                  <a:ea typeface="+mn-ea"/>
                                  <a:cs typeface="+mn-cs"/>
                                </a:rPr>
                                <a:t>Accounts</a:t>
                              </a:r>
                            </a:p>
                          </xdr:txBody>
                        </xdr:sp>
                      </xdr:grpSp>
                      <xdr:grpSp>
                        <xdr:nvGrpSpPr>
                          <xdr:cNvPr id="158" name="Group 157">
                            <a:extLst>
                              <a:ext uri="{FF2B5EF4-FFF2-40B4-BE49-F238E27FC236}">
                                <a16:creationId xmlns:a16="http://schemas.microsoft.com/office/drawing/2014/main" id="{00000000-0008-0000-0000-00009E000000}"/>
                              </a:ext>
                            </a:extLst>
                          </xdr:cNvPr>
                          <xdr:cNvGrpSpPr/>
                        </xdr:nvGrpSpPr>
                        <xdr:grpSpPr>
                          <a:xfrm>
                            <a:off x="17717488" y="871067"/>
                            <a:ext cx="1551066" cy="353943"/>
                            <a:chOff x="17717488" y="871067"/>
                            <a:chExt cx="1551066" cy="353943"/>
                          </a:xfrm>
                        </xdr:grpSpPr>
                        <xdr:sp macro="" textlink="">
                          <xdr:nvSpPr>
                            <xdr:cNvPr id="159" name="Rectangle: Rounded Corners 158">
                              <a:extLst>
                                <a:ext uri="{FF2B5EF4-FFF2-40B4-BE49-F238E27FC236}">
                                  <a16:creationId xmlns:a16="http://schemas.microsoft.com/office/drawing/2014/main" id="{00000000-0008-0000-0000-00009F000000}"/>
                                </a:ext>
                              </a:extLst>
                            </xdr:cNvPr>
                            <xdr:cNvSpPr/>
                          </xdr:nvSpPr>
                          <xdr:spPr>
                            <a:xfrm rot="16200000">
                              <a:off x="18340422" y="306675"/>
                              <a:ext cx="322946" cy="1490349"/>
                            </a:xfrm>
                            <a:prstGeom prst="round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0" name="TextBox 159">
                              <a:hlinkClick xmlns:r="http://schemas.openxmlformats.org/officeDocument/2006/relationships" r:id="rId3"/>
                              <a:extLst>
                                <a:ext uri="{FF2B5EF4-FFF2-40B4-BE49-F238E27FC236}">
                                  <a16:creationId xmlns:a16="http://schemas.microsoft.com/office/drawing/2014/main" id="{00000000-0008-0000-0000-0000A0000000}"/>
                                </a:ext>
                              </a:extLst>
                            </xdr:cNvPr>
                            <xdr:cNvSpPr txBox="1"/>
                          </xdr:nvSpPr>
                          <xdr:spPr>
                            <a:xfrm>
                              <a:off x="17717488" y="871067"/>
                              <a:ext cx="1551066" cy="353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b="0" i="1">
                                  <a:solidFill>
                                    <a:schemeClr val="bg1"/>
                                  </a:solidFill>
                                  <a:latin typeface="Abadi" panose="020B0604020104020204" pitchFamily="34" charset="0"/>
                                  <a:ea typeface="+mn-ea"/>
                                  <a:cs typeface="+mn-cs"/>
                                </a:rPr>
                                <a:t>Miscellaneous</a:t>
                              </a:r>
                            </a:p>
                          </xdr:txBody>
                        </xdr:sp>
                      </xdr:grpSp>
                    </xdr:grpSp>
                  </xdr:grpSp>
                </xdr:grpSp>
                <xdr:grpSp>
                  <xdr:nvGrpSpPr>
                    <xdr:cNvPr id="77" name="Group 76">
                      <a:extLst>
                        <a:ext uri="{FF2B5EF4-FFF2-40B4-BE49-F238E27FC236}">
                          <a16:creationId xmlns:a16="http://schemas.microsoft.com/office/drawing/2014/main" id="{00000000-0008-0000-0000-00004D000000}"/>
                        </a:ext>
                      </a:extLst>
                    </xdr:cNvPr>
                    <xdr:cNvGrpSpPr/>
                  </xdr:nvGrpSpPr>
                  <xdr:grpSpPr>
                    <a:xfrm>
                      <a:off x="448879" y="3103777"/>
                      <a:ext cx="19551651" cy="596741"/>
                      <a:chOff x="448879" y="3103777"/>
                      <a:chExt cx="19551651" cy="596741"/>
                    </a:xfrm>
                  </xdr:grpSpPr>
                  <xdr:grpSp>
                    <xdr:nvGrpSpPr>
                      <xdr:cNvPr id="78" name="Group 77">
                        <a:extLst>
                          <a:ext uri="{FF2B5EF4-FFF2-40B4-BE49-F238E27FC236}">
                            <a16:creationId xmlns:a16="http://schemas.microsoft.com/office/drawing/2014/main" id="{00000000-0008-0000-0000-00004E000000}"/>
                          </a:ext>
                        </a:extLst>
                      </xdr:cNvPr>
                      <xdr:cNvGrpSpPr/>
                    </xdr:nvGrpSpPr>
                    <xdr:grpSpPr>
                      <a:xfrm>
                        <a:off x="448879" y="3103778"/>
                        <a:ext cx="1335690" cy="596740"/>
                        <a:chOff x="1904632" y="3827775"/>
                        <a:chExt cx="1131908" cy="672128"/>
                      </a:xfrm>
                    </xdr:grpSpPr>
                    <xdr:grpSp>
                      <xdr:nvGrpSpPr>
                        <xdr:cNvPr id="147" name="Group 146">
                          <a:extLst>
                            <a:ext uri="{FF2B5EF4-FFF2-40B4-BE49-F238E27FC236}">
                              <a16:creationId xmlns:a16="http://schemas.microsoft.com/office/drawing/2014/main" id="{00000000-0008-0000-0000-000093000000}"/>
                            </a:ext>
                          </a:extLst>
                        </xdr:cNvPr>
                        <xdr:cNvGrpSpPr/>
                      </xdr:nvGrpSpPr>
                      <xdr:grpSpPr>
                        <a:xfrm>
                          <a:off x="1914452" y="3827775"/>
                          <a:ext cx="1008711" cy="672128"/>
                          <a:chOff x="511370" y="3869258"/>
                          <a:chExt cx="1729377" cy="900865"/>
                        </a:xfrm>
                      </xdr:grpSpPr>
                      <xdr:grpSp>
                        <xdr:nvGrpSpPr>
                          <xdr:cNvPr id="149" name="Group 148">
                            <a:extLst>
                              <a:ext uri="{FF2B5EF4-FFF2-40B4-BE49-F238E27FC236}">
                                <a16:creationId xmlns:a16="http://schemas.microsoft.com/office/drawing/2014/main" id="{00000000-0008-0000-0000-000095000000}"/>
                              </a:ext>
                            </a:extLst>
                          </xdr:cNvPr>
                          <xdr:cNvGrpSpPr/>
                        </xdr:nvGrpSpPr>
                        <xdr:grpSpPr>
                          <a:xfrm>
                            <a:off x="571054" y="3871684"/>
                            <a:ext cx="1669693" cy="897133"/>
                            <a:chOff x="571054" y="3871684"/>
                            <a:chExt cx="2489243" cy="897133"/>
                          </a:xfrm>
                        </xdr:grpSpPr>
                        <xdr:sp macro="" textlink="">
                          <xdr:nvSpPr>
                            <xdr:cNvPr id="151" name="Rectangle: Rounded Corners 150">
                              <a:extLst>
                                <a:ext uri="{FF2B5EF4-FFF2-40B4-BE49-F238E27FC236}">
                                  <a16:creationId xmlns:a16="http://schemas.microsoft.com/office/drawing/2014/main" id="{00000000-0008-0000-0000-000097000000}"/>
                                </a:ext>
                              </a:extLst>
                            </xdr:cNvPr>
                            <xdr:cNvSpPr/>
                          </xdr:nvSpPr>
                          <xdr:spPr>
                            <a:xfrm>
                              <a:off x="571054" y="3871684"/>
                              <a:ext cx="2489243" cy="897133"/>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2" name="Rectangle: Top Corners Rounded 151">
                              <a:extLst>
                                <a:ext uri="{FF2B5EF4-FFF2-40B4-BE49-F238E27FC236}">
                                  <a16:creationId xmlns:a16="http://schemas.microsoft.com/office/drawing/2014/main" id="{00000000-0008-0000-0000-000098000000}"/>
                                </a:ext>
                              </a:extLst>
                            </xdr:cNvPr>
                            <xdr:cNvSpPr/>
                          </xdr:nvSpPr>
                          <xdr:spPr>
                            <a:xfrm rot="5400000">
                              <a:off x="1447755" y="3151743"/>
                              <a:ext cx="794168" cy="2355491"/>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50" name="Rectangle: Top Corners Rounded 149">
                            <a:extLst>
                              <a:ext uri="{FF2B5EF4-FFF2-40B4-BE49-F238E27FC236}">
                                <a16:creationId xmlns:a16="http://schemas.microsoft.com/office/drawing/2014/main" id="{00000000-0008-0000-0000-000096000000}"/>
                              </a:ext>
                            </a:extLst>
                          </xdr:cNvPr>
                          <xdr:cNvSpPr/>
                        </xdr:nvSpPr>
                        <xdr:spPr>
                          <a:xfrm rot="16200000">
                            <a:off x="158681" y="4221947"/>
                            <a:ext cx="900865" cy="195488"/>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48" name="TextBox 147">
                          <a:hlinkClick xmlns:r="http://schemas.openxmlformats.org/officeDocument/2006/relationships" r:id="rId4"/>
                          <a:extLst>
                            <a:ext uri="{FF2B5EF4-FFF2-40B4-BE49-F238E27FC236}">
                              <a16:creationId xmlns:a16="http://schemas.microsoft.com/office/drawing/2014/main" id="{00000000-0008-0000-0000-000094000000}"/>
                            </a:ext>
                          </a:extLst>
                        </xdr:cNvPr>
                        <xdr:cNvSpPr txBox="1"/>
                      </xdr:nvSpPr>
                      <xdr:spPr>
                        <a:xfrm>
                          <a:off x="1904632" y="3907994"/>
                          <a:ext cx="1131908" cy="505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800" b="1" spc="300" baseline="0">
                              <a:solidFill>
                                <a:srgbClr val="312B57"/>
                              </a:solidFill>
                              <a:latin typeface="Comic Sans MS" panose="030F0702030302020204" pitchFamily="66" charset="0"/>
                            </a:rPr>
                            <a:t>Pre-KG</a:t>
                          </a:r>
                        </a:p>
                      </xdr:txBody>
                    </xdr:sp>
                  </xdr:grpSp>
                  <xdr:grpSp>
                    <xdr:nvGrpSpPr>
                      <xdr:cNvPr id="79" name="Group 78">
                        <a:extLst>
                          <a:ext uri="{FF2B5EF4-FFF2-40B4-BE49-F238E27FC236}">
                            <a16:creationId xmlns:a16="http://schemas.microsoft.com/office/drawing/2014/main" id="{00000000-0008-0000-0000-00004F000000}"/>
                          </a:ext>
                        </a:extLst>
                      </xdr:cNvPr>
                      <xdr:cNvGrpSpPr/>
                    </xdr:nvGrpSpPr>
                    <xdr:grpSpPr>
                      <a:xfrm>
                        <a:off x="2106113" y="3104661"/>
                        <a:ext cx="1187632" cy="595073"/>
                        <a:chOff x="4283346" y="3895854"/>
                        <a:chExt cx="1010249" cy="683622"/>
                      </a:xfrm>
                    </xdr:grpSpPr>
                    <xdr:grpSp>
                      <xdr:nvGrpSpPr>
                        <xdr:cNvPr id="142" name="Group 141">
                          <a:extLst>
                            <a:ext uri="{FF2B5EF4-FFF2-40B4-BE49-F238E27FC236}">
                              <a16:creationId xmlns:a16="http://schemas.microsoft.com/office/drawing/2014/main" id="{00000000-0008-0000-0000-00008E000000}"/>
                            </a:ext>
                          </a:extLst>
                        </xdr:cNvPr>
                        <xdr:cNvGrpSpPr/>
                      </xdr:nvGrpSpPr>
                      <xdr:grpSpPr>
                        <a:xfrm>
                          <a:off x="4283346" y="3895854"/>
                          <a:ext cx="1008177" cy="683622"/>
                          <a:chOff x="3898283" y="3869677"/>
                          <a:chExt cx="2567978" cy="900097"/>
                        </a:xfrm>
                      </xdr:grpSpPr>
                      <xdr:sp macro="" textlink="">
                        <xdr:nvSpPr>
                          <xdr:cNvPr id="144" name="Rectangle: Rounded Corners 143">
                            <a:extLst>
                              <a:ext uri="{FF2B5EF4-FFF2-40B4-BE49-F238E27FC236}">
                                <a16:creationId xmlns:a16="http://schemas.microsoft.com/office/drawing/2014/main" id="{00000000-0008-0000-0000-000090000000}"/>
                              </a:ext>
                            </a:extLst>
                          </xdr:cNvPr>
                          <xdr:cNvSpPr/>
                        </xdr:nvSpPr>
                        <xdr:spPr>
                          <a:xfrm>
                            <a:off x="3958412" y="3872101"/>
                            <a:ext cx="2507849" cy="89351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5" name="Rectangle: Top Corners Rounded 144">
                            <a:extLst>
                              <a:ext uri="{FF2B5EF4-FFF2-40B4-BE49-F238E27FC236}">
                                <a16:creationId xmlns:a16="http://schemas.microsoft.com/office/drawing/2014/main" id="{00000000-0008-0000-0000-000091000000}"/>
                              </a:ext>
                            </a:extLst>
                          </xdr:cNvPr>
                          <xdr:cNvSpPr/>
                        </xdr:nvSpPr>
                        <xdr:spPr>
                          <a:xfrm rot="5400000">
                            <a:off x="4844973" y="3142967"/>
                            <a:ext cx="793491" cy="2373097"/>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6" name="Rectangle: Top Corners Rounded 145">
                            <a:extLst>
                              <a:ext uri="{FF2B5EF4-FFF2-40B4-BE49-F238E27FC236}">
                                <a16:creationId xmlns:a16="http://schemas.microsoft.com/office/drawing/2014/main" id="{00000000-0008-0000-0000-000092000000}"/>
                              </a:ext>
                            </a:extLst>
                          </xdr:cNvPr>
                          <xdr:cNvSpPr/>
                        </xdr:nvSpPr>
                        <xdr:spPr>
                          <a:xfrm rot="16200000">
                            <a:off x="3546709" y="4221251"/>
                            <a:ext cx="900097" cy="196949"/>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43" name="TextBox 142">
                          <a:hlinkClick xmlns:r="http://schemas.openxmlformats.org/officeDocument/2006/relationships" r:id="rId4"/>
                          <a:extLst>
                            <a:ext uri="{FF2B5EF4-FFF2-40B4-BE49-F238E27FC236}">
                              <a16:creationId xmlns:a16="http://schemas.microsoft.com/office/drawing/2014/main" id="{00000000-0008-0000-0000-00008F000000}"/>
                            </a:ext>
                          </a:extLst>
                        </xdr:cNvPr>
                        <xdr:cNvSpPr txBox="1"/>
                      </xdr:nvSpPr>
                      <xdr:spPr>
                        <a:xfrm>
                          <a:off x="4388142" y="3976142"/>
                          <a:ext cx="905453" cy="516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LKG</a:t>
                          </a:r>
                        </a:p>
                      </xdr:txBody>
                    </xdr:sp>
                  </xdr:grpSp>
                  <xdr:grpSp>
                    <xdr:nvGrpSpPr>
                      <xdr:cNvPr id="80" name="Group 79">
                        <a:extLst>
                          <a:ext uri="{FF2B5EF4-FFF2-40B4-BE49-F238E27FC236}">
                            <a16:creationId xmlns:a16="http://schemas.microsoft.com/office/drawing/2014/main" id="{00000000-0008-0000-0000-000050000000}"/>
                          </a:ext>
                        </a:extLst>
                      </xdr:cNvPr>
                      <xdr:cNvGrpSpPr/>
                    </xdr:nvGrpSpPr>
                    <xdr:grpSpPr>
                      <a:xfrm>
                        <a:off x="3615289" y="3104931"/>
                        <a:ext cx="1188965" cy="594168"/>
                        <a:chOff x="7320017" y="5130605"/>
                        <a:chExt cx="2533432" cy="900491"/>
                      </a:xfrm>
                    </xdr:grpSpPr>
                    <xdr:sp macro="" textlink="">
                      <xdr:nvSpPr>
                        <xdr:cNvPr id="139" name="Rectangle: Rounded Corners 138">
                          <a:extLst>
                            <a:ext uri="{FF2B5EF4-FFF2-40B4-BE49-F238E27FC236}">
                              <a16:creationId xmlns:a16="http://schemas.microsoft.com/office/drawing/2014/main" id="{00000000-0008-0000-0000-00008B000000}"/>
                            </a:ext>
                          </a:extLst>
                        </xdr:cNvPr>
                        <xdr:cNvSpPr/>
                      </xdr:nvSpPr>
                      <xdr:spPr>
                        <a:xfrm>
                          <a:off x="7379338" y="5133026"/>
                          <a:ext cx="2474111" cy="89765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0" name="Rectangle: Top Corners Rounded 139">
                          <a:extLst>
                            <a:ext uri="{FF2B5EF4-FFF2-40B4-BE49-F238E27FC236}">
                              <a16:creationId xmlns:a16="http://schemas.microsoft.com/office/drawing/2014/main" id="{00000000-0008-0000-0000-00008C000000}"/>
                            </a:ext>
                          </a:extLst>
                        </xdr:cNvPr>
                        <xdr:cNvSpPr/>
                      </xdr:nvSpPr>
                      <xdr:spPr>
                        <a:xfrm rot="5400000">
                          <a:off x="8248461" y="4420061"/>
                          <a:ext cx="793839" cy="2341173"/>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1" name="Rectangle: Top Corners Rounded 140">
                          <a:extLst>
                            <a:ext uri="{FF2B5EF4-FFF2-40B4-BE49-F238E27FC236}">
                              <a16:creationId xmlns:a16="http://schemas.microsoft.com/office/drawing/2014/main" id="{00000000-0008-0000-0000-00008D000000}"/>
                            </a:ext>
                          </a:extLst>
                        </xdr:cNvPr>
                        <xdr:cNvSpPr/>
                      </xdr:nvSpPr>
                      <xdr:spPr>
                        <a:xfrm rot="16200000">
                          <a:off x="6966921" y="5483701"/>
                          <a:ext cx="900491" cy="194299"/>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81" name="Group 80">
                        <a:extLst>
                          <a:ext uri="{FF2B5EF4-FFF2-40B4-BE49-F238E27FC236}">
                            <a16:creationId xmlns:a16="http://schemas.microsoft.com/office/drawing/2014/main" id="{00000000-0008-0000-0000-000051000000}"/>
                          </a:ext>
                        </a:extLst>
                      </xdr:cNvPr>
                      <xdr:cNvGrpSpPr/>
                    </xdr:nvGrpSpPr>
                    <xdr:grpSpPr>
                      <a:xfrm>
                        <a:off x="5125798" y="3104688"/>
                        <a:ext cx="1200612" cy="594979"/>
                        <a:chOff x="6943509" y="3895907"/>
                        <a:chExt cx="1007844" cy="683516"/>
                      </a:xfrm>
                    </xdr:grpSpPr>
                    <xdr:grpSp>
                      <xdr:nvGrpSpPr>
                        <xdr:cNvPr id="134" name="Group 133">
                          <a:extLst>
                            <a:ext uri="{FF2B5EF4-FFF2-40B4-BE49-F238E27FC236}">
                              <a16:creationId xmlns:a16="http://schemas.microsoft.com/office/drawing/2014/main" id="{00000000-0008-0000-0000-000086000000}"/>
                            </a:ext>
                          </a:extLst>
                        </xdr:cNvPr>
                        <xdr:cNvGrpSpPr/>
                      </xdr:nvGrpSpPr>
                      <xdr:grpSpPr>
                        <a:xfrm>
                          <a:off x="6943509" y="3895907"/>
                          <a:ext cx="1007844" cy="683516"/>
                          <a:chOff x="7305984" y="3871230"/>
                          <a:chExt cx="2544327" cy="897254"/>
                        </a:xfrm>
                      </xdr:grpSpPr>
                      <xdr:sp macro="" textlink="">
                        <xdr:nvSpPr>
                          <xdr:cNvPr id="136" name="Rectangle: Rounded Corners 135">
                            <a:extLst>
                              <a:ext uri="{FF2B5EF4-FFF2-40B4-BE49-F238E27FC236}">
                                <a16:creationId xmlns:a16="http://schemas.microsoft.com/office/drawing/2014/main" id="{00000000-0008-0000-0000-000088000000}"/>
                              </a:ext>
                            </a:extLst>
                          </xdr:cNvPr>
                          <xdr:cNvSpPr/>
                        </xdr:nvSpPr>
                        <xdr:spPr>
                          <a:xfrm>
                            <a:off x="7365560" y="3873646"/>
                            <a:ext cx="2484751" cy="89465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7" name="Rectangle: Top Corners Rounded 136">
                            <a:extLst>
                              <a:ext uri="{FF2B5EF4-FFF2-40B4-BE49-F238E27FC236}">
                                <a16:creationId xmlns:a16="http://schemas.microsoft.com/office/drawing/2014/main" id="{00000000-0008-0000-0000-000089000000}"/>
                              </a:ext>
                            </a:extLst>
                          </xdr:cNvPr>
                          <xdr:cNvSpPr/>
                        </xdr:nvSpPr>
                        <xdr:spPr>
                          <a:xfrm rot="5400000">
                            <a:off x="8133027" y="3141316"/>
                            <a:ext cx="790985" cy="2351240"/>
                          </a:xfrm>
                          <a:prstGeom prst="round2SameRect">
                            <a:avLst>
                              <a:gd name="adj1" fmla="val 5075"/>
                              <a:gd name="adj2" fmla="val 0"/>
                            </a:avLst>
                          </a:prstGeom>
                          <a:solidFill>
                            <a:srgbClr val="F2F055">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8" name="Rectangle: Top Corners Rounded 137">
                            <a:extLst>
                              <a:ext uri="{FF2B5EF4-FFF2-40B4-BE49-F238E27FC236}">
                                <a16:creationId xmlns:a16="http://schemas.microsoft.com/office/drawing/2014/main" id="{00000000-0008-0000-0000-00008A000000}"/>
                              </a:ext>
                            </a:extLst>
                          </xdr:cNvPr>
                          <xdr:cNvSpPr/>
                        </xdr:nvSpPr>
                        <xdr:spPr>
                          <a:xfrm rot="16200000">
                            <a:off x="6954925" y="4222289"/>
                            <a:ext cx="897254" cy="195135"/>
                          </a:xfrm>
                          <a:prstGeom prst="round2SameRect">
                            <a:avLst/>
                          </a:prstGeom>
                          <a:solidFill>
                            <a:srgbClr val="F2F055"/>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35" name="TextBox 134">
                          <a:hlinkClick xmlns:r="http://schemas.openxmlformats.org/officeDocument/2006/relationships" r:id="rId5"/>
                          <a:extLst>
                            <a:ext uri="{FF2B5EF4-FFF2-40B4-BE49-F238E27FC236}">
                              <a16:creationId xmlns:a16="http://schemas.microsoft.com/office/drawing/2014/main" id="{00000000-0008-0000-0000-000087000000}"/>
                            </a:ext>
                          </a:extLst>
                        </xdr:cNvPr>
                        <xdr:cNvSpPr txBox="1"/>
                      </xdr:nvSpPr>
                      <xdr:spPr>
                        <a:xfrm>
                          <a:off x="7020423" y="3976142"/>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a:t>
                          </a:r>
                        </a:p>
                      </xdr:txBody>
                    </xdr:sp>
                  </xdr:grpSp>
                  <xdr:grpSp>
                    <xdr:nvGrpSpPr>
                      <xdr:cNvPr id="82" name="Group 81">
                        <a:extLst>
                          <a:ext uri="{FF2B5EF4-FFF2-40B4-BE49-F238E27FC236}">
                            <a16:creationId xmlns:a16="http://schemas.microsoft.com/office/drawing/2014/main" id="{00000000-0008-0000-0000-000052000000}"/>
                          </a:ext>
                        </a:extLst>
                      </xdr:cNvPr>
                      <xdr:cNvGrpSpPr/>
                    </xdr:nvGrpSpPr>
                    <xdr:grpSpPr>
                      <a:xfrm>
                        <a:off x="6647954" y="3104688"/>
                        <a:ext cx="1190879" cy="594979"/>
                        <a:chOff x="8274286" y="3895907"/>
                        <a:chExt cx="1007840" cy="683516"/>
                      </a:xfrm>
                    </xdr:grpSpPr>
                    <xdr:grpSp>
                      <xdr:nvGrpSpPr>
                        <xdr:cNvPr id="129" name="Group 128">
                          <a:extLst>
                            <a:ext uri="{FF2B5EF4-FFF2-40B4-BE49-F238E27FC236}">
                              <a16:creationId xmlns:a16="http://schemas.microsoft.com/office/drawing/2014/main" id="{00000000-0008-0000-0000-000081000000}"/>
                            </a:ext>
                          </a:extLst>
                        </xdr:cNvPr>
                        <xdr:cNvGrpSpPr/>
                      </xdr:nvGrpSpPr>
                      <xdr:grpSpPr>
                        <a:xfrm>
                          <a:off x="8274286" y="3895907"/>
                          <a:ext cx="1007840" cy="683516"/>
                          <a:chOff x="10687874" y="3873419"/>
                          <a:chExt cx="2544797" cy="893239"/>
                        </a:xfrm>
                      </xdr:grpSpPr>
                      <xdr:sp macro="" textlink="">
                        <xdr:nvSpPr>
                          <xdr:cNvPr id="131" name="Rectangle: Rounded Corners 130">
                            <a:extLst>
                              <a:ext uri="{FF2B5EF4-FFF2-40B4-BE49-F238E27FC236}">
                                <a16:creationId xmlns:a16="http://schemas.microsoft.com/office/drawing/2014/main" id="{00000000-0008-0000-0000-000083000000}"/>
                              </a:ext>
                            </a:extLst>
                          </xdr:cNvPr>
                          <xdr:cNvSpPr/>
                        </xdr:nvSpPr>
                        <xdr:spPr>
                          <a:xfrm>
                            <a:off x="10747460" y="3875824"/>
                            <a:ext cx="2485211" cy="888999"/>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2" name="Rectangle: Top Corners Rounded 131">
                            <a:extLst>
                              <a:ext uri="{FF2B5EF4-FFF2-40B4-BE49-F238E27FC236}">
                                <a16:creationId xmlns:a16="http://schemas.microsoft.com/office/drawing/2014/main" id="{00000000-0008-0000-0000-000084000000}"/>
                              </a:ext>
                            </a:extLst>
                          </xdr:cNvPr>
                          <xdr:cNvSpPr/>
                        </xdr:nvSpPr>
                        <xdr:spPr>
                          <a:xfrm rot="5400000">
                            <a:off x="11625460" y="3153916"/>
                            <a:ext cx="787445" cy="2351675"/>
                          </a:xfrm>
                          <a:prstGeom prst="round2SameRect">
                            <a:avLst>
                              <a:gd name="adj1" fmla="val 5075"/>
                              <a:gd name="adj2" fmla="val 0"/>
                            </a:avLst>
                          </a:prstGeom>
                          <a:solidFill>
                            <a:srgbClr val="F2828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3" name="Rectangle: Top Corners Rounded 132">
                            <a:extLst>
                              <a:ext uri="{FF2B5EF4-FFF2-40B4-BE49-F238E27FC236}">
                                <a16:creationId xmlns:a16="http://schemas.microsoft.com/office/drawing/2014/main" id="{00000000-0008-0000-0000-000085000000}"/>
                              </a:ext>
                            </a:extLst>
                          </xdr:cNvPr>
                          <xdr:cNvSpPr/>
                        </xdr:nvSpPr>
                        <xdr:spPr>
                          <a:xfrm rot="16200000">
                            <a:off x="10338840" y="4222453"/>
                            <a:ext cx="893239" cy="195171"/>
                          </a:xfrm>
                          <a:prstGeom prst="round2SameRect">
                            <a:avLst/>
                          </a:prstGeom>
                          <a:solidFill>
                            <a:srgbClr val="F2828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30" name="TextBox 129">
                          <a:hlinkClick xmlns:r="http://schemas.openxmlformats.org/officeDocument/2006/relationships" r:id="rId5"/>
                          <a:extLst>
                            <a:ext uri="{FF2B5EF4-FFF2-40B4-BE49-F238E27FC236}">
                              <a16:creationId xmlns:a16="http://schemas.microsoft.com/office/drawing/2014/main" id="{00000000-0008-0000-0000-000082000000}"/>
                            </a:ext>
                          </a:extLst>
                        </xdr:cNvPr>
                        <xdr:cNvSpPr txBox="1"/>
                      </xdr:nvSpPr>
                      <xdr:spPr>
                        <a:xfrm>
                          <a:off x="8343897" y="3976142"/>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II</a:t>
                          </a:r>
                        </a:p>
                      </xdr:txBody>
                    </xdr:sp>
                  </xdr:grpSp>
                  <xdr:grpSp>
                    <xdr:nvGrpSpPr>
                      <xdr:cNvPr id="83" name="Group 82">
                        <a:extLst>
                          <a:ext uri="{FF2B5EF4-FFF2-40B4-BE49-F238E27FC236}">
                            <a16:creationId xmlns:a16="http://schemas.microsoft.com/office/drawing/2014/main" id="{00000000-0008-0000-0000-000053000000}"/>
                          </a:ext>
                        </a:extLst>
                      </xdr:cNvPr>
                      <xdr:cNvGrpSpPr/>
                    </xdr:nvGrpSpPr>
                    <xdr:grpSpPr>
                      <a:xfrm>
                        <a:off x="8160377" y="3104688"/>
                        <a:ext cx="1244296" cy="594979"/>
                        <a:chOff x="10833757" y="3895907"/>
                        <a:chExt cx="1053063" cy="683516"/>
                      </a:xfrm>
                    </xdr:grpSpPr>
                    <xdr:grpSp>
                      <xdr:nvGrpSpPr>
                        <xdr:cNvPr id="123" name="Group 122">
                          <a:extLst>
                            <a:ext uri="{FF2B5EF4-FFF2-40B4-BE49-F238E27FC236}">
                              <a16:creationId xmlns:a16="http://schemas.microsoft.com/office/drawing/2014/main" id="{00000000-0008-0000-0000-00007B000000}"/>
                            </a:ext>
                          </a:extLst>
                        </xdr:cNvPr>
                        <xdr:cNvGrpSpPr/>
                      </xdr:nvGrpSpPr>
                      <xdr:grpSpPr>
                        <a:xfrm>
                          <a:off x="10833757" y="3895907"/>
                          <a:ext cx="1010385" cy="683516"/>
                          <a:chOff x="511370" y="3869258"/>
                          <a:chExt cx="1729377" cy="900865"/>
                        </a:xfrm>
                      </xdr:grpSpPr>
                      <xdr:grpSp>
                        <xdr:nvGrpSpPr>
                          <xdr:cNvPr id="125" name="Group 124">
                            <a:extLst>
                              <a:ext uri="{FF2B5EF4-FFF2-40B4-BE49-F238E27FC236}">
                                <a16:creationId xmlns:a16="http://schemas.microsoft.com/office/drawing/2014/main" id="{00000000-0008-0000-0000-00007D000000}"/>
                              </a:ext>
                            </a:extLst>
                          </xdr:cNvPr>
                          <xdr:cNvGrpSpPr/>
                        </xdr:nvGrpSpPr>
                        <xdr:grpSpPr>
                          <a:xfrm>
                            <a:off x="571054" y="3871684"/>
                            <a:ext cx="1669693" cy="897133"/>
                            <a:chOff x="571054" y="3871684"/>
                            <a:chExt cx="2489243" cy="897133"/>
                          </a:xfrm>
                        </xdr:grpSpPr>
                        <xdr:sp macro="" textlink="">
                          <xdr:nvSpPr>
                            <xdr:cNvPr id="127" name="Rectangle: Rounded Corners 126">
                              <a:extLst>
                                <a:ext uri="{FF2B5EF4-FFF2-40B4-BE49-F238E27FC236}">
                                  <a16:creationId xmlns:a16="http://schemas.microsoft.com/office/drawing/2014/main" id="{00000000-0008-0000-0000-00007F000000}"/>
                                </a:ext>
                              </a:extLst>
                            </xdr:cNvPr>
                            <xdr:cNvSpPr/>
                          </xdr:nvSpPr>
                          <xdr:spPr>
                            <a:xfrm>
                              <a:off x="571054" y="3871684"/>
                              <a:ext cx="2489243" cy="897133"/>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8" name="Rectangle: Top Corners Rounded 127">
                              <a:extLst>
                                <a:ext uri="{FF2B5EF4-FFF2-40B4-BE49-F238E27FC236}">
                                  <a16:creationId xmlns:a16="http://schemas.microsoft.com/office/drawing/2014/main" id="{00000000-0008-0000-0000-000080000000}"/>
                                </a:ext>
                              </a:extLst>
                            </xdr:cNvPr>
                            <xdr:cNvSpPr/>
                          </xdr:nvSpPr>
                          <xdr:spPr>
                            <a:xfrm rot="5400000">
                              <a:off x="1447755" y="3151743"/>
                              <a:ext cx="794168" cy="2355491"/>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26" name="Rectangle: Top Corners Rounded 125">
                            <a:extLst>
                              <a:ext uri="{FF2B5EF4-FFF2-40B4-BE49-F238E27FC236}">
                                <a16:creationId xmlns:a16="http://schemas.microsoft.com/office/drawing/2014/main" id="{00000000-0008-0000-0000-00007E000000}"/>
                              </a:ext>
                            </a:extLst>
                          </xdr:cNvPr>
                          <xdr:cNvSpPr/>
                        </xdr:nvSpPr>
                        <xdr:spPr>
                          <a:xfrm rot="16200000">
                            <a:off x="158681" y="4221947"/>
                            <a:ext cx="900865" cy="195488"/>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24" name="TextBox 123">
                          <a:hlinkClick xmlns:r="http://schemas.openxmlformats.org/officeDocument/2006/relationships" r:id="rId5"/>
                          <a:extLst>
                            <a:ext uri="{FF2B5EF4-FFF2-40B4-BE49-F238E27FC236}">
                              <a16:creationId xmlns:a16="http://schemas.microsoft.com/office/drawing/2014/main" id="{00000000-0008-0000-0000-00007C000000}"/>
                            </a:ext>
                          </a:extLst>
                        </xdr:cNvPr>
                        <xdr:cNvSpPr txBox="1"/>
                      </xdr:nvSpPr>
                      <xdr:spPr>
                        <a:xfrm>
                          <a:off x="10981367" y="3976142"/>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III</a:t>
                          </a:r>
                        </a:p>
                      </xdr:txBody>
                    </xdr:sp>
                  </xdr:grpSp>
                  <xdr:grpSp>
                    <xdr:nvGrpSpPr>
                      <xdr:cNvPr id="84" name="Group 83">
                        <a:extLst>
                          <a:ext uri="{FF2B5EF4-FFF2-40B4-BE49-F238E27FC236}">
                            <a16:creationId xmlns:a16="http://schemas.microsoft.com/office/drawing/2014/main" id="{00000000-0008-0000-0000-000054000000}"/>
                          </a:ext>
                        </a:extLst>
                      </xdr:cNvPr>
                      <xdr:cNvGrpSpPr/>
                    </xdr:nvGrpSpPr>
                    <xdr:grpSpPr>
                      <a:xfrm>
                        <a:off x="9726217" y="3104661"/>
                        <a:ext cx="1182679" cy="595073"/>
                        <a:chOff x="499935" y="5179042"/>
                        <a:chExt cx="1000669" cy="683622"/>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499935" y="5179042"/>
                          <a:ext cx="1000669" cy="683622"/>
                          <a:chOff x="3898283" y="3869677"/>
                          <a:chExt cx="2567978" cy="900097"/>
                        </a:xfrm>
                      </xdr:grpSpPr>
                      <xdr:sp macro="" textlink="">
                        <xdr:nvSpPr>
                          <xdr:cNvPr id="120" name="Rectangle: Rounded Corners 119">
                            <a:extLst>
                              <a:ext uri="{FF2B5EF4-FFF2-40B4-BE49-F238E27FC236}">
                                <a16:creationId xmlns:a16="http://schemas.microsoft.com/office/drawing/2014/main" id="{00000000-0008-0000-0000-000078000000}"/>
                              </a:ext>
                            </a:extLst>
                          </xdr:cNvPr>
                          <xdr:cNvSpPr/>
                        </xdr:nvSpPr>
                        <xdr:spPr>
                          <a:xfrm>
                            <a:off x="3958412" y="3872101"/>
                            <a:ext cx="2507849" cy="89351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1" name="Rectangle: Top Corners Rounded 120">
                            <a:extLst>
                              <a:ext uri="{FF2B5EF4-FFF2-40B4-BE49-F238E27FC236}">
                                <a16:creationId xmlns:a16="http://schemas.microsoft.com/office/drawing/2014/main" id="{00000000-0008-0000-0000-000079000000}"/>
                              </a:ext>
                            </a:extLst>
                          </xdr:cNvPr>
                          <xdr:cNvSpPr/>
                        </xdr:nvSpPr>
                        <xdr:spPr>
                          <a:xfrm rot="5400000">
                            <a:off x="4844973" y="3142967"/>
                            <a:ext cx="793491" cy="2373097"/>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2" name="Rectangle: Top Corners Rounded 121">
                            <a:extLst>
                              <a:ext uri="{FF2B5EF4-FFF2-40B4-BE49-F238E27FC236}">
                                <a16:creationId xmlns:a16="http://schemas.microsoft.com/office/drawing/2014/main" id="{00000000-0008-0000-0000-00007A000000}"/>
                              </a:ext>
                            </a:extLst>
                          </xdr:cNvPr>
                          <xdr:cNvSpPr/>
                        </xdr:nvSpPr>
                        <xdr:spPr>
                          <a:xfrm rot="16200000">
                            <a:off x="3546709" y="4221251"/>
                            <a:ext cx="900097" cy="196949"/>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19" name="TextBox 118">
                          <a:hlinkClick xmlns:r="http://schemas.openxmlformats.org/officeDocument/2006/relationships" r:id="rId6"/>
                          <a:extLst>
                            <a:ext uri="{FF2B5EF4-FFF2-40B4-BE49-F238E27FC236}">
                              <a16:creationId xmlns:a16="http://schemas.microsoft.com/office/drawing/2014/main" id="{00000000-0008-0000-0000-000077000000}"/>
                            </a:ext>
                          </a:extLst>
                        </xdr:cNvPr>
                        <xdr:cNvSpPr txBox="1"/>
                      </xdr:nvSpPr>
                      <xdr:spPr>
                        <a:xfrm>
                          <a:off x="592009" y="5274205"/>
                          <a:ext cx="905453" cy="516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IV</a:t>
                          </a:r>
                        </a:p>
                      </xdr:txBody>
                    </xdr:sp>
                  </xdr:grpSp>
                  <xdr:grpSp>
                    <xdr:nvGrpSpPr>
                      <xdr:cNvPr id="85" name="Group 84">
                        <a:extLst>
                          <a:ext uri="{FF2B5EF4-FFF2-40B4-BE49-F238E27FC236}">
                            <a16:creationId xmlns:a16="http://schemas.microsoft.com/office/drawing/2014/main" id="{00000000-0008-0000-0000-000055000000}"/>
                          </a:ext>
                        </a:extLst>
                      </xdr:cNvPr>
                      <xdr:cNvGrpSpPr/>
                    </xdr:nvGrpSpPr>
                    <xdr:grpSpPr>
                      <a:xfrm>
                        <a:off x="11230440" y="3104931"/>
                        <a:ext cx="1188757" cy="594168"/>
                        <a:chOff x="1823537" y="5179556"/>
                        <a:chExt cx="1015025" cy="682595"/>
                      </a:xfrm>
                    </xdr:grpSpPr>
                    <xdr:grpSp>
                      <xdr:nvGrpSpPr>
                        <xdr:cNvPr id="113" name="Group 112">
                          <a:extLst>
                            <a:ext uri="{FF2B5EF4-FFF2-40B4-BE49-F238E27FC236}">
                              <a16:creationId xmlns:a16="http://schemas.microsoft.com/office/drawing/2014/main" id="{00000000-0008-0000-0000-000071000000}"/>
                            </a:ext>
                          </a:extLst>
                        </xdr:cNvPr>
                        <xdr:cNvGrpSpPr/>
                      </xdr:nvGrpSpPr>
                      <xdr:grpSpPr>
                        <a:xfrm>
                          <a:off x="1823537" y="5179556"/>
                          <a:ext cx="1015025" cy="682595"/>
                          <a:chOff x="7320017" y="5130605"/>
                          <a:chExt cx="2533432" cy="900491"/>
                        </a:xfrm>
                      </xdr:grpSpPr>
                      <xdr:sp macro="" textlink="">
                        <xdr:nvSpPr>
                          <xdr:cNvPr id="115" name="Rectangle: Rounded Corners 114">
                            <a:extLst>
                              <a:ext uri="{FF2B5EF4-FFF2-40B4-BE49-F238E27FC236}">
                                <a16:creationId xmlns:a16="http://schemas.microsoft.com/office/drawing/2014/main" id="{00000000-0008-0000-0000-000073000000}"/>
                              </a:ext>
                            </a:extLst>
                          </xdr:cNvPr>
                          <xdr:cNvSpPr/>
                        </xdr:nvSpPr>
                        <xdr:spPr>
                          <a:xfrm>
                            <a:off x="7379338" y="5133026"/>
                            <a:ext cx="2474111" cy="89765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6" name="Rectangle: Top Corners Rounded 115">
                            <a:extLst>
                              <a:ext uri="{FF2B5EF4-FFF2-40B4-BE49-F238E27FC236}">
                                <a16:creationId xmlns:a16="http://schemas.microsoft.com/office/drawing/2014/main" id="{00000000-0008-0000-0000-000074000000}"/>
                              </a:ext>
                            </a:extLst>
                          </xdr:cNvPr>
                          <xdr:cNvSpPr/>
                        </xdr:nvSpPr>
                        <xdr:spPr>
                          <a:xfrm rot="5400000">
                            <a:off x="8248461" y="4420061"/>
                            <a:ext cx="793839" cy="2341173"/>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7" name="Rectangle: Top Corners Rounded 116">
                            <a:extLst>
                              <a:ext uri="{FF2B5EF4-FFF2-40B4-BE49-F238E27FC236}">
                                <a16:creationId xmlns:a16="http://schemas.microsoft.com/office/drawing/2014/main" id="{00000000-0008-0000-0000-000075000000}"/>
                              </a:ext>
                            </a:extLst>
                          </xdr:cNvPr>
                          <xdr:cNvSpPr/>
                        </xdr:nvSpPr>
                        <xdr:spPr>
                          <a:xfrm rot="16200000">
                            <a:off x="6966921" y="5483701"/>
                            <a:ext cx="900491" cy="194299"/>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14" name="TextBox 113">
                          <a:hlinkClick xmlns:r="http://schemas.openxmlformats.org/officeDocument/2006/relationships" r:id="rId6"/>
                          <a:extLst>
                            <a:ext uri="{FF2B5EF4-FFF2-40B4-BE49-F238E27FC236}">
                              <a16:creationId xmlns:a16="http://schemas.microsoft.com/office/drawing/2014/main" id="{00000000-0008-0000-0000-000072000000}"/>
                            </a:ext>
                          </a:extLst>
                        </xdr:cNvPr>
                        <xdr:cNvSpPr txBox="1"/>
                      </xdr:nvSpPr>
                      <xdr:spPr>
                        <a:xfrm>
                          <a:off x="1924961" y="5255245"/>
                          <a:ext cx="905453" cy="5166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a:t>
                          </a:r>
                        </a:p>
                      </xdr:txBody>
                    </xdr:sp>
                  </xdr:grpSp>
                  <xdr:grpSp>
                    <xdr:nvGrpSpPr>
                      <xdr:cNvPr id="86" name="Group 85">
                        <a:extLst>
                          <a:ext uri="{FF2B5EF4-FFF2-40B4-BE49-F238E27FC236}">
                            <a16:creationId xmlns:a16="http://schemas.microsoft.com/office/drawing/2014/main" id="{00000000-0008-0000-0000-000056000000}"/>
                          </a:ext>
                        </a:extLst>
                      </xdr:cNvPr>
                      <xdr:cNvGrpSpPr/>
                    </xdr:nvGrpSpPr>
                    <xdr:grpSpPr>
                      <a:xfrm>
                        <a:off x="12740741" y="3104688"/>
                        <a:ext cx="1188954" cy="594979"/>
                        <a:chOff x="3162892" y="5179095"/>
                        <a:chExt cx="1004152" cy="683516"/>
                      </a:xfrm>
                    </xdr:grpSpPr>
                    <xdr:grpSp>
                      <xdr:nvGrpSpPr>
                        <xdr:cNvPr id="108" name="Group 107">
                          <a:extLst>
                            <a:ext uri="{FF2B5EF4-FFF2-40B4-BE49-F238E27FC236}">
                              <a16:creationId xmlns:a16="http://schemas.microsoft.com/office/drawing/2014/main" id="{00000000-0008-0000-0000-00006C000000}"/>
                            </a:ext>
                          </a:extLst>
                        </xdr:cNvPr>
                        <xdr:cNvGrpSpPr/>
                      </xdr:nvGrpSpPr>
                      <xdr:grpSpPr>
                        <a:xfrm>
                          <a:off x="3162892" y="5179095"/>
                          <a:ext cx="1004152" cy="683516"/>
                          <a:chOff x="7305984" y="3871230"/>
                          <a:chExt cx="2544327" cy="897254"/>
                        </a:xfrm>
                      </xdr:grpSpPr>
                      <xdr:sp macro="" textlink="">
                        <xdr:nvSpPr>
                          <xdr:cNvPr id="110" name="Rectangle: Rounded Corners 109">
                            <a:extLst>
                              <a:ext uri="{FF2B5EF4-FFF2-40B4-BE49-F238E27FC236}">
                                <a16:creationId xmlns:a16="http://schemas.microsoft.com/office/drawing/2014/main" id="{00000000-0008-0000-0000-00006E000000}"/>
                              </a:ext>
                            </a:extLst>
                          </xdr:cNvPr>
                          <xdr:cNvSpPr/>
                        </xdr:nvSpPr>
                        <xdr:spPr>
                          <a:xfrm>
                            <a:off x="7365560" y="3873646"/>
                            <a:ext cx="2484751" cy="89465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1" name="Rectangle: Top Corners Rounded 110">
                            <a:extLst>
                              <a:ext uri="{FF2B5EF4-FFF2-40B4-BE49-F238E27FC236}">
                                <a16:creationId xmlns:a16="http://schemas.microsoft.com/office/drawing/2014/main" id="{00000000-0008-0000-0000-00006F000000}"/>
                              </a:ext>
                            </a:extLst>
                          </xdr:cNvPr>
                          <xdr:cNvSpPr/>
                        </xdr:nvSpPr>
                        <xdr:spPr>
                          <a:xfrm rot="5400000">
                            <a:off x="8241555" y="3153995"/>
                            <a:ext cx="790985" cy="2351239"/>
                          </a:xfrm>
                          <a:prstGeom prst="round2SameRect">
                            <a:avLst>
                              <a:gd name="adj1" fmla="val 5075"/>
                              <a:gd name="adj2" fmla="val 0"/>
                            </a:avLst>
                          </a:prstGeom>
                          <a:solidFill>
                            <a:srgbClr val="F2F055">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2" name="Rectangle: Top Corners Rounded 111">
                            <a:extLst>
                              <a:ext uri="{FF2B5EF4-FFF2-40B4-BE49-F238E27FC236}">
                                <a16:creationId xmlns:a16="http://schemas.microsoft.com/office/drawing/2014/main" id="{00000000-0008-0000-0000-000070000000}"/>
                              </a:ext>
                            </a:extLst>
                          </xdr:cNvPr>
                          <xdr:cNvSpPr/>
                        </xdr:nvSpPr>
                        <xdr:spPr>
                          <a:xfrm rot="16200000">
                            <a:off x="6954925" y="4222289"/>
                            <a:ext cx="897254" cy="195135"/>
                          </a:xfrm>
                          <a:prstGeom prst="round2SameRect">
                            <a:avLst/>
                          </a:prstGeom>
                          <a:solidFill>
                            <a:srgbClr val="F2F055"/>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09" name="TextBox 108">
                          <a:hlinkClick xmlns:r="http://schemas.openxmlformats.org/officeDocument/2006/relationships" r:id="rId6"/>
                          <a:extLst>
                            <a:ext uri="{FF2B5EF4-FFF2-40B4-BE49-F238E27FC236}">
                              <a16:creationId xmlns:a16="http://schemas.microsoft.com/office/drawing/2014/main" id="{00000000-0008-0000-0000-00006D000000}"/>
                            </a:ext>
                          </a:extLst>
                        </xdr:cNvPr>
                        <xdr:cNvSpPr txBox="1"/>
                      </xdr:nvSpPr>
                      <xdr:spPr>
                        <a:xfrm>
                          <a:off x="3238059" y="5255251"/>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VI</a:t>
                          </a:r>
                        </a:p>
                      </xdr:txBody>
                    </xdr:sp>
                  </xdr:grpSp>
                  <xdr:grpSp>
                    <xdr:nvGrpSpPr>
                      <xdr:cNvPr id="87" name="Group 86">
                        <a:extLst>
                          <a:ext uri="{FF2B5EF4-FFF2-40B4-BE49-F238E27FC236}">
                            <a16:creationId xmlns:a16="http://schemas.microsoft.com/office/drawing/2014/main" id="{00000000-0008-0000-0000-000057000000}"/>
                          </a:ext>
                        </a:extLst>
                      </xdr:cNvPr>
                      <xdr:cNvGrpSpPr/>
                    </xdr:nvGrpSpPr>
                    <xdr:grpSpPr>
                      <a:xfrm>
                        <a:off x="14251239" y="3104688"/>
                        <a:ext cx="1216966" cy="594979"/>
                        <a:chOff x="4490870" y="5179095"/>
                        <a:chExt cx="1030188" cy="683516"/>
                      </a:xfrm>
                    </xdr:grpSpPr>
                    <xdr:grpSp>
                      <xdr:nvGrpSpPr>
                        <xdr:cNvPr id="103" name="Group 102">
                          <a:extLst>
                            <a:ext uri="{FF2B5EF4-FFF2-40B4-BE49-F238E27FC236}">
                              <a16:creationId xmlns:a16="http://schemas.microsoft.com/office/drawing/2014/main" id="{00000000-0008-0000-0000-000067000000}"/>
                            </a:ext>
                          </a:extLst>
                        </xdr:cNvPr>
                        <xdr:cNvGrpSpPr/>
                      </xdr:nvGrpSpPr>
                      <xdr:grpSpPr>
                        <a:xfrm>
                          <a:off x="4490870" y="5179095"/>
                          <a:ext cx="1012132" cy="683516"/>
                          <a:chOff x="10687874" y="3873419"/>
                          <a:chExt cx="2544797" cy="893239"/>
                        </a:xfrm>
                      </xdr:grpSpPr>
                      <xdr:sp macro="" textlink="">
                        <xdr:nvSpPr>
                          <xdr:cNvPr id="105" name="Rectangle: Rounded Corners 104">
                            <a:extLst>
                              <a:ext uri="{FF2B5EF4-FFF2-40B4-BE49-F238E27FC236}">
                                <a16:creationId xmlns:a16="http://schemas.microsoft.com/office/drawing/2014/main" id="{00000000-0008-0000-0000-000069000000}"/>
                              </a:ext>
                            </a:extLst>
                          </xdr:cNvPr>
                          <xdr:cNvSpPr/>
                        </xdr:nvSpPr>
                        <xdr:spPr>
                          <a:xfrm>
                            <a:off x="10747460" y="3875824"/>
                            <a:ext cx="2485211" cy="888999"/>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6" name="Rectangle: Top Corners Rounded 105">
                            <a:extLst>
                              <a:ext uri="{FF2B5EF4-FFF2-40B4-BE49-F238E27FC236}">
                                <a16:creationId xmlns:a16="http://schemas.microsoft.com/office/drawing/2014/main" id="{00000000-0008-0000-0000-00006A000000}"/>
                              </a:ext>
                            </a:extLst>
                          </xdr:cNvPr>
                          <xdr:cNvSpPr/>
                        </xdr:nvSpPr>
                        <xdr:spPr>
                          <a:xfrm rot="5400000">
                            <a:off x="11625464" y="3153915"/>
                            <a:ext cx="787445" cy="2351677"/>
                          </a:xfrm>
                          <a:prstGeom prst="round2SameRect">
                            <a:avLst>
                              <a:gd name="adj1" fmla="val 5075"/>
                              <a:gd name="adj2" fmla="val 0"/>
                            </a:avLst>
                          </a:prstGeom>
                          <a:solidFill>
                            <a:srgbClr val="F2828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7" name="Rectangle: Top Corners Rounded 106">
                            <a:extLst>
                              <a:ext uri="{FF2B5EF4-FFF2-40B4-BE49-F238E27FC236}">
                                <a16:creationId xmlns:a16="http://schemas.microsoft.com/office/drawing/2014/main" id="{00000000-0008-0000-0000-00006B000000}"/>
                              </a:ext>
                            </a:extLst>
                          </xdr:cNvPr>
                          <xdr:cNvSpPr/>
                        </xdr:nvSpPr>
                        <xdr:spPr>
                          <a:xfrm rot="16200000">
                            <a:off x="10338840" y="4222453"/>
                            <a:ext cx="893239" cy="195171"/>
                          </a:xfrm>
                          <a:prstGeom prst="round2SameRect">
                            <a:avLst/>
                          </a:prstGeom>
                          <a:solidFill>
                            <a:srgbClr val="F2828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04" name="TextBox 103">
                          <a:hlinkClick xmlns:r="http://schemas.openxmlformats.org/officeDocument/2006/relationships" r:id="rId7"/>
                          <a:extLst>
                            <a:ext uri="{FF2B5EF4-FFF2-40B4-BE49-F238E27FC236}">
                              <a16:creationId xmlns:a16="http://schemas.microsoft.com/office/drawing/2014/main" id="{00000000-0008-0000-0000-000068000000}"/>
                            </a:ext>
                          </a:extLst>
                        </xdr:cNvPr>
                        <xdr:cNvSpPr txBox="1"/>
                      </xdr:nvSpPr>
                      <xdr:spPr>
                        <a:xfrm>
                          <a:off x="4568216" y="5274206"/>
                          <a:ext cx="952842"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VII</a:t>
                          </a:r>
                        </a:p>
                      </xdr:txBody>
                    </xdr:sp>
                  </xdr:grpSp>
                  <xdr:grpSp>
                    <xdr:nvGrpSpPr>
                      <xdr:cNvPr id="88" name="Group 87">
                        <a:extLst>
                          <a:ext uri="{FF2B5EF4-FFF2-40B4-BE49-F238E27FC236}">
                            <a16:creationId xmlns:a16="http://schemas.microsoft.com/office/drawing/2014/main" id="{00000000-0008-0000-0000-000058000000}"/>
                          </a:ext>
                        </a:extLst>
                      </xdr:cNvPr>
                      <xdr:cNvGrpSpPr/>
                    </xdr:nvGrpSpPr>
                    <xdr:grpSpPr>
                      <a:xfrm>
                        <a:off x="15789749" y="3103777"/>
                        <a:ext cx="1190739" cy="596740"/>
                        <a:chOff x="5891557" y="5216315"/>
                        <a:chExt cx="1005319" cy="684898"/>
                      </a:xfrm>
                    </xdr:grpSpPr>
                    <xdr:grpSp>
                      <xdr:nvGrpSpPr>
                        <xdr:cNvPr id="97" name="Group 96">
                          <a:extLst>
                            <a:ext uri="{FF2B5EF4-FFF2-40B4-BE49-F238E27FC236}">
                              <a16:creationId xmlns:a16="http://schemas.microsoft.com/office/drawing/2014/main" id="{00000000-0008-0000-0000-000061000000}"/>
                            </a:ext>
                          </a:extLst>
                        </xdr:cNvPr>
                        <xdr:cNvGrpSpPr/>
                      </xdr:nvGrpSpPr>
                      <xdr:grpSpPr>
                        <a:xfrm>
                          <a:off x="5891557" y="5216315"/>
                          <a:ext cx="1005319" cy="684898"/>
                          <a:chOff x="511370" y="3869258"/>
                          <a:chExt cx="1729377" cy="900865"/>
                        </a:xfrm>
                      </xdr:grpSpPr>
                      <xdr:grpSp>
                        <xdr:nvGrpSpPr>
                          <xdr:cNvPr id="99" name="Group 98">
                            <a:extLst>
                              <a:ext uri="{FF2B5EF4-FFF2-40B4-BE49-F238E27FC236}">
                                <a16:creationId xmlns:a16="http://schemas.microsoft.com/office/drawing/2014/main" id="{00000000-0008-0000-0000-000063000000}"/>
                              </a:ext>
                            </a:extLst>
                          </xdr:cNvPr>
                          <xdr:cNvGrpSpPr/>
                        </xdr:nvGrpSpPr>
                        <xdr:grpSpPr>
                          <a:xfrm>
                            <a:off x="571054" y="3871684"/>
                            <a:ext cx="1669693" cy="897133"/>
                            <a:chOff x="571054" y="3871684"/>
                            <a:chExt cx="2489243" cy="897133"/>
                          </a:xfrm>
                        </xdr:grpSpPr>
                        <xdr:sp macro="" textlink="">
                          <xdr:nvSpPr>
                            <xdr:cNvPr id="101" name="Rectangle: Rounded Corners 100">
                              <a:extLst>
                                <a:ext uri="{FF2B5EF4-FFF2-40B4-BE49-F238E27FC236}">
                                  <a16:creationId xmlns:a16="http://schemas.microsoft.com/office/drawing/2014/main" id="{00000000-0008-0000-0000-000065000000}"/>
                                </a:ext>
                              </a:extLst>
                            </xdr:cNvPr>
                            <xdr:cNvSpPr/>
                          </xdr:nvSpPr>
                          <xdr:spPr>
                            <a:xfrm>
                              <a:off x="571054" y="3871684"/>
                              <a:ext cx="2489243" cy="897133"/>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2" name="Rectangle: Top Corners Rounded 101">
                              <a:extLst>
                                <a:ext uri="{FF2B5EF4-FFF2-40B4-BE49-F238E27FC236}">
                                  <a16:creationId xmlns:a16="http://schemas.microsoft.com/office/drawing/2014/main" id="{00000000-0008-0000-0000-000066000000}"/>
                                </a:ext>
                              </a:extLst>
                            </xdr:cNvPr>
                            <xdr:cNvSpPr/>
                          </xdr:nvSpPr>
                          <xdr:spPr>
                            <a:xfrm rot="5400000">
                              <a:off x="1447755" y="3151743"/>
                              <a:ext cx="794168" cy="2355491"/>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00" name="Rectangle: Top Corners Rounded 99">
                            <a:extLst>
                              <a:ext uri="{FF2B5EF4-FFF2-40B4-BE49-F238E27FC236}">
                                <a16:creationId xmlns:a16="http://schemas.microsoft.com/office/drawing/2014/main" id="{00000000-0008-0000-0000-000064000000}"/>
                              </a:ext>
                            </a:extLst>
                          </xdr:cNvPr>
                          <xdr:cNvSpPr/>
                        </xdr:nvSpPr>
                        <xdr:spPr>
                          <a:xfrm rot="16200000">
                            <a:off x="158681" y="4221947"/>
                            <a:ext cx="900865" cy="195488"/>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98" name="TextBox 97">
                          <a:hlinkClick xmlns:r="http://schemas.openxmlformats.org/officeDocument/2006/relationships" r:id="rId7"/>
                          <a:extLst>
                            <a:ext uri="{FF2B5EF4-FFF2-40B4-BE49-F238E27FC236}">
                              <a16:creationId xmlns:a16="http://schemas.microsoft.com/office/drawing/2014/main" id="{00000000-0008-0000-0000-000062000000}"/>
                            </a:ext>
                          </a:extLst>
                        </xdr:cNvPr>
                        <xdr:cNvSpPr txBox="1"/>
                      </xdr:nvSpPr>
                      <xdr:spPr>
                        <a:xfrm>
                          <a:off x="6036449" y="5302880"/>
                          <a:ext cx="791721" cy="516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VIII</a:t>
                          </a:r>
                        </a:p>
                      </xdr:txBody>
                    </xdr:sp>
                  </xdr:grpSp>
                  <xdr:grpSp>
                    <xdr:nvGrpSpPr>
                      <xdr:cNvPr id="89" name="Group 88">
                        <a:extLst>
                          <a:ext uri="{FF2B5EF4-FFF2-40B4-BE49-F238E27FC236}">
                            <a16:creationId xmlns:a16="http://schemas.microsoft.com/office/drawing/2014/main" id="{00000000-0008-0000-0000-000059000000}"/>
                          </a:ext>
                        </a:extLst>
                      </xdr:cNvPr>
                      <xdr:cNvGrpSpPr/>
                    </xdr:nvGrpSpPr>
                    <xdr:grpSpPr>
                      <a:xfrm>
                        <a:off x="17302032" y="3104661"/>
                        <a:ext cx="1187987" cy="595073"/>
                        <a:chOff x="3898283" y="3869677"/>
                        <a:chExt cx="2567978" cy="900097"/>
                      </a:xfrm>
                    </xdr:grpSpPr>
                    <xdr:sp macro="" textlink="">
                      <xdr:nvSpPr>
                        <xdr:cNvPr id="94" name="Rectangle: Rounded Corners 93">
                          <a:extLst>
                            <a:ext uri="{FF2B5EF4-FFF2-40B4-BE49-F238E27FC236}">
                              <a16:creationId xmlns:a16="http://schemas.microsoft.com/office/drawing/2014/main" id="{00000000-0008-0000-0000-00005E000000}"/>
                            </a:ext>
                          </a:extLst>
                        </xdr:cNvPr>
                        <xdr:cNvSpPr/>
                      </xdr:nvSpPr>
                      <xdr:spPr>
                        <a:xfrm>
                          <a:off x="3958412" y="3872101"/>
                          <a:ext cx="2507849" cy="89351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Rectangle: Top Corners Rounded 94">
                          <a:extLst>
                            <a:ext uri="{FF2B5EF4-FFF2-40B4-BE49-F238E27FC236}">
                              <a16:creationId xmlns:a16="http://schemas.microsoft.com/office/drawing/2014/main" id="{00000000-0008-0000-0000-00005F000000}"/>
                            </a:ext>
                          </a:extLst>
                        </xdr:cNvPr>
                        <xdr:cNvSpPr/>
                      </xdr:nvSpPr>
                      <xdr:spPr>
                        <a:xfrm rot="5400000">
                          <a:off x="4844980" y="3142966"/>
                          <a:ext cx="793492" cy="2373099"/>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6" name="Rectangle: Top Corners Rounded 95">
                          <a:extLst>
                            <a:ext uri="{FF2B5EF4-FFF2-40B4-BE49-F238E27FC236}">
                              <a16:creationId xmlns:a16="http://schemas.microsoft.com/office/drawing/2014/main" id="{00000000-0008-0000-0000-000060000000}"/>
                            </a:ext>
                          </a:extLst>
                        </xdr:cNvPr>
                        <xdr:cNvSpPr/>
                      </xdr:nvSpPr>
                      <xdr:spPr>
                        <a:xfrm rot="16200000">
                          <a:off x="3546709" y="4221251"/>
                          <a:ext cx="900097" cy="196949"/>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90" name="Group 89">
                        <a:extLst>
                          <a:ext uri="{FF2B5EF4-FFF2-40B4-BE49-F238E27FC236}">
                            <a16:creationId xmlns:a16="http://schemas.microsoft.com/office/drawing/2014/main" id="{00000000-0008-0000-0000-00005A000000}"/>
                          </a:ext>
                        </a:extLst>
                      </xdr:cNvPr>
                      <xdr:cNvGrpSpPr/>
                    </xdr:nvGrpSpPr>
                    <xdr:grpSpPr>
                      <a:xfrm>
                        <a:off x="18811565" y="3104056"/>
                        <a:ext cx="1188965" cy="594168"/>
                        <a:chOff x="7320017" y="5130605"/>
                        <a:chExt cx="2533432" cy="900491"/>
                      </a:xfrm>
                    </xdr:grpSpPr>
                    <xdr:sp macro="" textlink="">
                      <xdr:nvSpPr>
                        <xdr:cNvPr id="91" name="Rectangle: Rounded Corners 90">
                          <a:extLst>
                            <a:ext uri="{FF2B5EF4-FFF2-40B4-BE49-F238E27FC236}">
                              <a16:creationId xmlns:a16="http://schemas.microsoft.com/office/drawing/2014/main" id="{00000000-0008-0000-0000-00005B000000}"/>
                            </a:ext>
                          </a:extLst>
                        </xdr:cNvPr>
                        <xdr:cNvSpPr/>
                      </xdr:nvSpPr>
                      <xdr:spPr>
                        <a:xfrm>
                          <a:off x="7379338" y="5133026"/>
                          <a:ext cx="2474111" cy="89765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2" name="Rectangle: Top Corners Rounded 91">
                          <a:extLst>
                            <a:ext uri="{FF2B5EF4-FFF2-40B4-BE49-F238E27FC236}">
                              <a16:creationId xmlns:a16="http://schemas.microsoft.com/office/drawing/2014/main" id="{00000000-0008-0000-0000-00005C000000}"/>
                            </a:ext>
                          </a:extLst>
                        </xdr:cNvPr>
                        <xdr:cNvSpPr/>
                      </xdr:nvSpPr>
                      <xdr:spPr>
                        <a:xfrm rot="5400000">
                          <a:off x="8248461" y="4420061"/>
                          <a:ext cx="793839" cy="2341173"/>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3" name="Rectangle: Top Corners Rounded 92">
                          <a:extLst>
                            <a:ext uri="{FF2B5EF4-FFF2-40B4-BE49-F238E27FC236}">
                              <a16:creationId xmlns:a16="http://schemas.microsoft.com/office/drawing/2014/main" id="{00000000-0008-0000-0000-00005D000000}"/>
                            </a:ext>
                          </a:extLst>
                        </xdr:cNvPr>
                        <xdr:cNvSpPr/>
                      </xdr:nvSpPr>
                      <xdr:spPr>
                        <a:xfrm rot="16200000">
                          <a:off x="6966921" y="5483701"/>
                          <a:ext cx="900491" cy="194299"/>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grpSp>
              <xdr:sp macro="" textlink="">
                <xdr:nvSpPr>
                  <xdr:cNvPr id="75" name="TextBox 74">
                    <a:hlinkClick xmlns:r="http://schemas.openxmlformats.org/officeDocument/2006/relationships" r:id="rId4"/>
                    <a:extLst>
                      <a:ext uri="{FF2B5EF4-FFF2-40B4-BE49-F238E27FC236}">
                        <a16:creationId xmlns:a16="http://schemas.microsoft.com/office/drawing/2014/main" id="{00000000-0008-0000-0000-00004B000000}"/>
                      </a:ext>
                    </a:extLst>
                  </xdr:cNvPr>
                  <xdr:cNvSpPr txBox="1"/>
                </xdr:nvSpPr>
                <xdr:spPr>
                  <a:xfrm>
                    <a:off x="3658978" y="3214444"/>
                    <a:ext cx="1070004" cy="391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b="1" spc="300" baseline="0">
                        <a:solidFill>
                          <a:srgbClr val="312B57"/>
                        </a:solidFill>
                        <a:latin typeface="Comic Sans MS" panose="030F0702030302020204" pitchFamily="66" charset="0"/>
                      </a:rPr>
                      <a:t>UKG</a:t>
                    </a:r>
                  </a:p>
                </xdr:txBody>
              </xdr:sp>
            </xdr:grpSp>
            <xdr:grpSp>
              <xdr:nvGrpSpPr>
                <xdr:cNvPr id="37" name="Group 36">
                  <a:extLst>
                    <a:ext uri="{FF2B5EF4-FFF2-40B4-BE49-F238E27FC236}">
                      <a16:creationId xmlns:a16="http://schemas.microsoft.com/office/drawing/2014/main" id="{00000000-0008-0000-0000-000025000000}"/>
                    </a:ext>
                  </a:extLst>
                </xdr:cNvPr>
                <xdr:cNvGrpSpPr/>
              </xdr:nvGrpSpPr>
              <xdr:grpSpPr>
                <a:xfrm>
                  <a:off x="500260" y="1748753"/>
                  <a:ext cx="19655524" cy="1060061"/>
                  <a:chOff x="504071" y="2558272"/>
                  <a:chExt cx="16051880" cy="1031001"/>
                </a:xfrm>
              </xdr:grpSpPr>
              <xdr:grpSp>
                <xdr:nvGrpSpPr>
                  <xdr:cNvPr id="38" name="Group 37">
                    <a:extLst>
                      <a:ext uri="{FF2B5EF4-FFF2-40B4-BE49-F238E27FC236}">
                        <a16:creationId xmlns:a16="http://schemas.microsoft.com/office/drawing/2014/main" id="{00000000-0008-0000-0000-000026000000}"/>
                      </a:ext>
                    </a:extLst>
                  </xdr:cNvPr>
                  <xdr:cNvGrpSpPr/>
                </xdr:nvGrpSpPr>
                <xdr:grpSpPr>
                  <a:xfrm>
                    <a:off x="13761429" y="2558476"/>
                    <a:ext cx="2794522" cy="1030593"/>
                    <a:chOff x="10712585" y="899307"/>
                    <a:chExt cx="2771365" cy="1010331"/>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10712585" y="899307"/>
                      <a:ext cx="2771365" cy="1010331"/>
                      <a:chOff x="10712585" y="899307"/>
                      <a:chExt cx="2771365" cy="1010331"/>
                    </a:xfrm>
                  </xdr:grpSpPr>
                  <xdr:grpSp>
                    <xdr:nvGrpSpPr>
                      <xdr:cNvPr id="67" name="Group 66">
                        <a:extLst>
                          <a:ext uri="{FF2B5EF4-FFF2-40B4-BE49-F238E27FC236}">
                            <a16:creationId xmlns:a16="http://schemas.microsoft.com/office/drawing/2014/main" id="{00000000-0008-0000-0000-000043000000}"/>
                          </a:ext>
                        </a:extLst>
                      </xdr:cNvPr>
                      <xdr:cNvGrpSpPr/>
                    </xdr:nvGrpSpPr>
                    <xdr:grpSpPr>
                      <a:xfrm>
                        <a:off x="10712585" y="899307"/>
                        <a:ext cx="2771365" cy="1010331"/>
                        <a:chOff x="10712585" y="899307"/>
                        <a:chExt cx="2771365" cy="1010331"/>
                      </a:xfrm>
                    </xdr:grpSpPr>
                    <xdr:grpSp>
                      <xdr:nvGrpSpPr>
                        <xdr:cNvPr id="69" name="Group 68">
                          <a:extLst>
                            <a:ext uri="{FF2B5EF4-FFF2-40B4-BE49-F238E27FC236}">
                              <a16:creationId xmlns:a16="http://schemas.microsoft.com/office/drawing/2014/main" id="{00000000-0008-0000-0000-000045000000}"/>
                            </a:ext>
                          </a:extLst>
                        </xdr:cNvPr>
                        <xdr:cNvGrpSpPr/>
                      </xdr:nvGrpSpPr>
                      <xdr:grpSpPr>
                        <a:xfrm>
                          <a:off x="10712585" y="899307"/>
                          <a:ext cx="2771365" cy="1010331"/>
                          <a:chOff x="2855988" y="41893577"/>
                          <a:chExt cx="5580105" cy="2030537"/>
                        </a:xfrm>
                      </xdr:grpSpPr>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2986648" y="41899036"/>
                            <a:ext cx="5449445" cy="2024140"/>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 name="Rectangle: Top Corners Rounded 71">
                            <a:extLst>
                              <a:ext uri="{FF2B5EF4-FFF2-40B4-BE49-F238E27FC236}">
                                <a16:creationId xmlns:a16="http://schemas.microsoft.com/office/drawing/2014/main" id="{00000000-0008-0000-0000-000048000000}"/>
                              </a:ext>
                            </a:extLst>
                          </xdr:cNvPr>
                          <xdr:cNvSpPr/>
                        </xdr:nvSpPr>
                        <xdr:spPr>
                          <a:xfrm rot="5400000">
                            <a:off x="4880193" y="40352617"/>
                            <a:ext cx="1790043" cy="5156637"/>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3" name="Rectangle: Top Corners Rounded 72">
                            <a:extLst>
                              <a:ext uri="{FF2B5EF4-FFF2-40B4-BE49-F238E27FC236}">
                                <a16:creationId xmlns:a16="http://schemas.microsoft.com/office/drawing/2014/main" id="{00000000-0008-0000-0000-000049000000}"/>
                              </a:ext>
                            </a:extLst>
                          </xdr:cNvPr>
                          <xdr:cNvSpPr/>
                        </xdr:nvSpPr>
                        <xdr:spPr>
                          <a:xfrm rot="16200000">
                            <a:off x="2054700" y="42694865"/>
                            <a:ext cx="2030537" cy="427961"/>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xnSp macro="">
                      <xdr:nvCxnSpPr>
                        <xdr:cNvPr id="70" name="Straight Connector 69">
                          <a:extLst>
                            <a:ext uri="{FF2B5EF4-FFF2-40B4-BE49-F238E27FC236}">
                              <a16:creationId xmlns:a16="http://schemas.microsoft.com/office/drawing/2014/main" id="{00000000-0008-0000-0000-000046000000}"/>
                            </a:ext>
                          </a:extLst>
                        </xdr:cNvPr>
                        <xdr:cNvCxnSpPr>
                          <a:stCxn id="72" idx="2"/>
                          <a:endCxn id="72" idx="0"/>
                        </xdr:cNvCxnSpPr>
                      </xdr:nvCxnSpPr>
                      <xdr:spPr>
                        <a:xfrm>
                          <a:off x="12162422" y="970127"/>
                          <a:ext cx="0" cy="890669"/>
                        </a:xfrm>
                        <a:prstGeom prst="line">
                          <a:avLst/>
                        </a:prstGeom>
                        <a:ln>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grpSp>
                  <xdr:sp macro="" textlink="">
                    <xdr:nvSpPr>
                      <xdr:cNvPr id="68" name="TextBox 67">
                        <a:extLst>
                          <a:ext uri="{FF2B5EF4-FFF2-40B4-BE49-F238E27FC236}">
                            <a16:creationId xmlns:a16="http://schemas.microsoft.com/office/drawing/2014/main" id="{00000000-0008-0000-0000-000044000000}"/>
                          </a:ext>
                        </a:extLst>
                      </xdr:cNvPr>
                      <xdr:cNvSpPr txBox="1"/>
                    </xdr:nvSpPr>
                    <xdr:spPr>
                      <a:xfrm>
                        <a:off x="11044650" y="994355"/>
                        <a:ext cx="664284" cy="237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000">
                            <a:solidFill>
                              <a:srgbClr val="312B57"/>
                            </a:solidFill>
                            <a:latin typeface="Abadi" panose="020B0604020104020204" pitchFamily="34" charset="0"/>
                            <a:ea typeface="+mn-ea"/>
                            <a:cs typeface="+mn-cs"/>
                          </a:rPr>
                          <a:t>Students</a:t>
                        </a:r>
                      </a:p>
                    </xdr:txBody>
                  </xdr: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12211821" y="913722"/>
                      <a:ext cx="367180" cy="958051"/>
                      <a:chOff x="12211821" y="913722"/>
                      <a:chExt cx="367180" cy="958051"/>
                    </a:xfrm>
                  </xdr:grpSpPr>
                  <xdr:pic>
                    <xdr:nvPicPr>
                      <xdr:cNvPr id="65" name="Graphic 64" descr="School boy">
                        <a:extLst>
                          <a:ext uri="{FF2B5EF4-FFF2-40B4-BE49-F238E27FC236}">
                            <a16:creationId xmlns:a16="http://schemas.microsoft.com/office/drawing/2014/main" id="{00000000-0008-0000-00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22090" y="913722"/>
                        <a:ext cx="325020" cy="476804"/>
                      </a:xfrm>
                      <a:prstGeom prst="rect">
                        <a:avLst/>
                      </a:prstGeom>
                    </xdr:spPr>
                  </xdr:pic>
                  <xdr:pic>
                    <xdr:nvPicPr>
                      <xdr:cNvPr id="66" name="Graphic 65" descr="School girl">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211821" y="1396814"/>
                        <a:ext cx="367180" cy="474959"/>
                      </a:xfrm>
                      <a:prstGeom prst="rect">
                        <a:avLst/>
                      </a:prstGeom>
                    </xdr:spPr>
                  </xdr:pic>
                </xdr:grpSp>
              </xdr:grpSp>
              <xdr:grpSp>
                <xdr:nvGrpSpPr>
                  <xdr:cNvPr id="39" name="Group 38">
                    <a:extLst>
                      <a:ext uri="{FF2B5EF4-FFF2-40B4-BE49-F238E27FC236}">
                        <a16:creationId xmlns:a16="http://schemas.microsoft.com/office/drawing/2014/main" id="{00000000-0008-0000-0000-000027000000}"/>
                      </a:ext>
                    </a:extLst>
                  </xdr:cNvPr>
                  <xdr:cNvGrpSpPr/>
                </xdr:nvGrpSpPr>
                <xdr:grpSpPr>
                  <a:xfrm>
                    <a:off x="504071" y="2558272"/>
                    <a:ext cx="2802068" cy="1031001"/>
                    <a:chOff x="504071" y="2518159"/>
                    <a:chExt cx="2788522" cy="1010739"/>
                  </a:xfrm>
                </xdr:grpSpPr>
                <xdr:grpSp>
                  <xdr:nvGrpSpPr>
                    <xdr:cNvPr id="58" name="Group 57">
                      <a:extLst>
                        <a:ext uri="{FF2B5EF4-FFF2-40B4-BE49-F238E27FC236}">
                          <a16:creationId xmlns:a16="http://schemas.microsoft.com/office/drawing/2014/main" id="{00000000-0008-0000-0000-00003A000000}"/>
                        </a:ext>
                      </a:extLst>
                    </xdr:cNvPr>
                    <xdr:cNvGrpSpPr/>
                  </xdr:nvGrpSpPr>
                  <xdr:grpSpPr>
                    <a:xfrm>
                      <a:off x="504071" y="2518159"/>
                      <a:ext cx="2788522" cy="1010739"/>
                      <a:chOff x="2855988" y="41893577"/>
                      <a:chExt cx="5580105" cy="2030537"/>
                    </a:xfrm>
                  </xdr:grpSpPr>
                  <xdr:sp macro="" textlink="">
                    <xdr:nvSpPr>
                      <xdr:cNvPr id="60" name="Rectangle: Rounded Corners 59">
                        <a:extLst>
                          <a:ext uri="{FF2B5EF4-FFF2-40B4-BE49-F238E27FC236}">
                            <a16:creationId xmlns:a16="http://schemas.microsoft.com/office/drawing/2014/main" id="{00000000-0008-0000-0000-00003C000000}"/>
                          </a:ext>
                        </a:extLst>
                      </xdr:cNvPr>
                      <xdr:cNvSpPr/>
                    </xdr:nvSpPr>
                    <xdr:spPr>
                      <a:xfrm>
                        <a:off x="2986647" y="41899045"/>
                        <a:ext cx="5449446" cy="2022126"/>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 name="Rectangle: Top Corners Rounded 60">
                        <a:extLst>
                          <a:ext uri="{FF2B5EF4-FFF2-40B4-BE49-F238E27FC236}">
                            <a16:creationId xmlns:a16="http://schemas.microsoft.com/office/drawing/2014/main" id="{00000000-0008-0000-0000-00003D000000}"/>
                          </a:ext>
                        </a:extLst>
                      </xdr:cNvPr>
                      <xdr:cNvSpPr/>
                    </xdr:nvSpPr>
                    <xdr:spPr>
                      <a:xfrm rot="5400000">
                        <a:off x="4880193" y="40352612"/>
                        <a:ext cx="1790043" cy="5156636"/>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 name="Rectangle: Top Corners Rounded 61">
                        <a:extLst>
                          <a:ext uri="{FF2B5EF4-FFF2-40B4-BE49-F238E27FC236}">
                            <a16:creationId xmlns:a16="http://schemas.microsoft.com/office/drawing/2014/main" id="{00000000-0008-0000-0000-00003E000000}"/>
                          </a:ext>
                        </a:extLst>
                      </xdr:cNvPr>
                      <xdr:cNvSpPr/>
                    </xdr:nvSpPr>
                    <xdr:spPr>
                      <a:xfrm rot="16200000">
                        <a:off x="2054700" y="42694865"/>
                        <a:ext cx="2030537" cy="427961"/>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1311542" y="3240134"/>
                      <a:ext cx="1244138" cy="216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baseline="0">
                          <a:solidFill>
                            <a:srgbClr val="312B57"/>
                          </a:solidFill>
                          <a:latin typeface="Abadi" panose="020B0604020104020204" pitchFamily="34" charset="0"/>
                          <a:ea typeface="+mn-ea"/>
                          <a:cs typeface="+mn-cs"/>
                        </a:rPr>
                        <a:t> Fee Amount</a:t>
                      </a:r>
                      <a:endParaRPr lang="en-IN" sz="1000">
                        <a:solidFill>
                          <a:srgbClr val="312B57"/>
                        </a:solidFill>
                        <a:latin typeface="Abadi" panose="020B0604020104020204" pitchFamily="34" charset="0"/>
                        <a:ea typeface="+mn-ea"/>
                        <a:cs typeface="+mn-cs"/>
                      </a:endParaRPr>
                    </a:p>
                  </xdr:txBody>
                </xdr:sp>
              </xdr:grpSp>
              <xdr:grpSp>
                <xdr:nvGrpSpPr>
                  <xdr:cNvPr id="40" name="Group 39">
                    <a:extLst>
                      <a:ext uri="{FF2B5EF4-FFF2-40B4-BE49-F238E27FC236}">
                        <a16:creationId xmlns:a16="http://schemas.microsoft.com/office/drawing/2014/main" id="{00000000-0008-0000-0000-000028000000}"/>
                      </a:ext>
                    </a:extLst>
                  </xdr:cNvPr>
                  <xdr:cNvGrpSpPr/>
                </xdr:nvGrpSpPr>
                <xdr:grpSpPr>
                  <a:xfrm>
                    <a:off x="3815575" y="2558712"/>
                    <a:ext cx="2823010" cy="1030121"/>
                    <a:chOff x="3899182" y="2518590"/>
                    <a:chExt cx="2809363" cy="1009876"/>
                  </a:xfrm>
                </xdr:grpSpPr>
                <xdr:grpSp>
                  <xdr:nvGrpSpPr>
                    <xdr:cNvPr id="53" name="Group 52">
                      <a:extLst>
                        <a:ext uri="{FF2B5EF4-FFF2-40B4-BE49-F238E27FC236}">
                          <a16:creationId xmlns:a16="http://schemas.microsoft.com/office/drawing/2014/main" id="{00000000-0008-0000-0000-000035000000}"/>
                        </a:ext>
                      </a:extLst>
                    </xdr:cNvPr>
                    <xdr:cNvGrpSpPr/>
                  </xdr:nvGrpSpPr>
                  <xdr:grpSpPr>
                    <a:xfrm>
                      <a:off x="3899182" y="2518590"/>
                      <a:ext cx="2809363" cy="1009876"/>
                      <a:chOff x="2855988" y="41893577"/>
                      <a:chExt cx="5580105" cy="2030537"/>
                    </a:xfrm>
                  </xdr:grpSpPr>
                  <xdr:sp macro="" textlink="">
                    <xdr:nvSpPr>
                      <xdr:cNvPr id="55" name="Rectangle: Rounded Corners 54">
                        <a:extLst>
                          <a:ext uri="{FF2B5EF4-FFF2-40B4-BE49-F238E27FC236}">
                            <a16:creationId xmlns:a16="http://schemas.microsoft.com/office/drawing/2014/main" id="{00000000-0008-0000-0000-000037000000}"/>
                          </a:ext>
                        </a:extLst>
                      </xdr:cNvPr>
                      <xdr:cNvSpPr/>
                    </xdr:nvSpPr>
                    <xdr:spPr>
                      <a:xfrm>
                        <a:off x="2986646" y="41899045"/>
                        <a:ext cx="5449447" cy="201569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6" name="Rectangle: Top Corners Rounded 55">
                        <a:extLst>
                          <a:ext uri="{FF2B5EF4-FFF2-40B4-BE49-F238E27FC236}">
                            <a16:creationId xmlns:a16="http://schemas.microsoft.com/office/drawing/2014/main" id="{00000000-0008-0000-0000-000038000000}"/>
                          </a:ext>
                        </a:extLst>
                      </xdr:cNvPr>
                      <xdr:cNvSpPr/>
                    </xdr:nvSpPr>
                    <xdr:spPr>
                      <a:xfrm rot="5400000">
                        <a:off x="4880193" y="40352612"/>
                        <a:ext cx="1790043" cy="5156636"/>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 name="Rectangle: Top Corners Rounded 56">
                        <a:extLst>
                          <a:ext uri="{FF2B5EF4-FFF2-40B4-BE49-F238E27FC236}">
                            <a16:creationId xmlns:a16="http://schemas.microsoft.com/office/drawing/2014/main" id="{00000000-0008-0000-0000-000039000000}"/>
                          </a:ext>
                        </a:extLst>
                      </xdr:cNvPr>
                      <xdr:cNvSpPr/>
                    </xdr:nvSpPr>
                    <xdr:spPr>
                      <a:xfrm rot="16200000">
                        <a:off x="2054700" y="42694865"/>
                        <a:ext cx="2030537" cy="427961"/>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4923299" y="3244671"/>
                      <a:ext cx="1011208" cy="2076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rgbClr val="312B57"/>
                          </a:solidFill>
                          <a:latin typeface="Abadi" panose="020B0604020104020204" pitchFamily="34" charset="0"/>
                          <a:ea typeface="+mn-ea"/>
                          <a:cs typeface="+mn-cs"/>
                        </a:rPr>
                        <a:t>Fees Recieved</a:t>
                      </a:r>
                    </a:p>
                  </xdr:txBody>
                </xdr:sp>
              </xdr:grpSp>
              <xdr:grpSp>
                <xdr:nvGrpSpPr>
                  <xdr:cNvPr id="41" name="Group 40">
                    <a:extLst>
                      <a:ext uri="{FF2B5EF4-FFF2-40B4-BE49-F238E27FC236}">
                        <a16:creationId xmlns:a16="http://schemas.microsoft.com/office/drawing/2014/main" id="{00000000-0008-0000-0000-000029000000}"/>
                      </a:ext>
                    </a:extLst>
                  </xdr:cNvPr>
                  <xdr:cNvGrpSpPr/>
                </xdr:nvGrpSpPr>
                <xdr:grpSpPr>
                  <a:xfrm>
                    <a:off x="7148021" y="2560338"/>
                    <a:ext cx="2797009" cy="1026868"/>
                    <a:chOff x="7315134" y="2520185"/>
                    <a:chExt cx="2783488" cy="1006687"/>
                  </a:xfrm>
                </xdr:grpSpPr>
                <xdr:grpSp>
                  <xdr:nvGrpSpPr>
                    <xdr:cNvPr id="48" name="Group 47">
                      <a:extLst>
                        <a:ext uri="{FF2B5EF4-FFF2-40B4-BE49-F238E27FC236}">
                          <a16:creationId xmlns:a16="http://schemas.microsoft.com/office/drawing/2014/main" id="{00000000-0008-0000-0000-000030000000}"/>
                        </a:ext>
                      </a:extLst>
                    </xdr:cNvPr>
                    <xdr:cNvGrpSpPr/>
                  </xdr:nvGrpSpPr>
                  <xdr:grpSpPr>
                    <a:xfrm>
                      <a:off x="7315134" y="2520185"/>
                      <a:ext cx="2783488" cy="1006687"/>
                      <a:chOff x="2855988" y="41893577"/>
                      <a:chExt cx="5580105" cy="2030537"/>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2986645" y="41899046"/>
                        <a:ext cx="5449448" cy="2024659"/>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1" name="Rectangle: Top Corners Rounded 50">
                        <a:extLst>
                          <a:ext uri="{FF2B5EF4-FFF2-40B4-BE49-F238E27FC236}">
                            <a16:creationId xmlns:a16="http://schemas.microsoft.com/office/drawing/2014/main" id="{00000000-0008-0000-0000-000033000000}"/>
                          </a:ext>
                        </a:extLst>
                      </xdr:cNvPr>
                      <xdr:cNvSpPr/>
                    </xdr:nvSpPr>
                    <xdr:spPr>
                      <a:xfrm rot="5400000">
                        <a:off x="4880194" y="40352613"/>
                        <a:ext cx="1790044" cy="5156636"/>
                      </a:xfrm>
                      <a:prstGeom prst="round2SameRect">
                        <a:avLst>
                          <a:gd name="adj1" fmla="val 5075"/>
                          <a:gd name="adj2" fmla="val 0"/>
                        </a:avLst>
                      </a:prstGeom>
                      <a:solidFill>
                        <a:srgbClr val="F2F055">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2" name="Rectangle: Top Corners Rounded 51">
                        <a:extLst>
                          <a:ext uri="{FF2B5EF4-FFF2-40B4-BE49-F238E27FC236}">
                            <a16:creationId xmlns:a16="http://schemas.microsoft.com/office/drawing/2014/main" id="{00000000-0008-0000-0000-000034000000}"/>
                          </a:ext>
                        </a:extLst>
                      </xdr:cNvPr>
                      <xdr:cNvSpPr/>
                    </xdr:nvSpPr>
                    <xdr:spPr>
                      <a:xfrm rot="16200000">
                        <a:off x="2054700" y="42694865"/>
                        <a:ext cx="2030537" cy="427961"/>
                      </a:xfrm>
                      <a:prstGeom prst="round2SameRect">
                        <a:avLst/>
                      </a:prstGeom>
                      <a:solidFill>
                        <a:srgbClr val="F2F055"/>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8338465" y="3237230"/>
                      <a:ext cx="967030" cy="2225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rgbClr val="312B57"/>
                          </a:solidFill>
                          <a:latin typeface="Abadi" panose="020B0604020104020204" pitchFamily="34" charset="0"/>
                          <a:ea typeface="+mn-ea"/>
                          <a:cs typeface="+mn-cs"/>
                        </a:rPr>
                        <a:t>Pending Fees</a:t>
                      </a:r>
                    </a:p>
                  </xdr:txBody>
                </xdr:sp>
              </xdr:grpSp>
              <xdr:grpSp>
                <xdr:nvGrpSpPr>
                  <xdr:cNvPr id="42" name="Group 41">
                    <a:extLst>
                      <a:ext uri="{FF2B5EF4-FFF2-40B4-BE49-F238E27FC236}">
                        <a16:creationId xmlns:a16="http://schemas.microsoft.com/office/drawing/2014/main" id="{00000000-0008-0000-0000-00002A000000}"/>
                      </a:ext>
                    </a:extLst>
                  </xdr:cNvPr>
                  <xdr:cNvGrpSpPr/>
                </xdr:nvGrpSpPr>
                <xdr:grpSpPr>
                  <a:xfrm>
                    <a:off x="10454466" y="2562636"/>
                    <a:ext cx="2797527" cy="1022273"/>
                    <a:chOff x="10705210" y="2522437"/>
                    <a:chExt cx="2784003" cy="1002183"/>
                  </a:xfrm>
                </xdr:grpSpPr>
                <xdr:grpSp>
                  <xdr:nvGrpSpPr>
                    <xdr:cNvPr id="43" name="Group 42">
                      <a:extLst>
                        <a:ext uri="{FF2B5EF4-FFF2-40B4-BE49-F238E27FC236}">
                          <a16:creationId xmlns:a16="http://schemas.microsoft.com/office/drawing/2014/main" id="{00000000-0008-0000-0000-00002B000000}"/>
                        </a:ext>
                      </a:extLst>
                    </xdr:cNvPr>
                    <xdr:cNvGrpSpPr/>
                  </xdr:nvGrpSpPr>
                  <xdr:grpSpPr>
                    <a:xfrm>
                      <a:off x="10705210" y="2522437"/>
                      <a:ext cx="2784003" cy="1002183"/>
                      <a:chOff x="2855988" y="41893577"/>
                      <a:chExt cx="5580105" cy="2030537"/>
                    </a:xfrm>
                  </xdr:grpSpPr>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2986645" y="41899045"/>
                        <a:ext cx="5449448" cy="2020898"/>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6" name="Rectangle: Top Corners Rounded 45">
                        <a:extLst>
                          <a:ext uri="{FF2B5EF4-FFF2-40B4-BE49-F238E27FC236}">
                            <a16:creationId xmlns:a16="http://schemas.microsoft.com/office/drawing/2014/main" id="{00000000-0008-0000-0000-00002E000000}"/>
                          </a:ext>
                        </a:extLst>
                      </xdr:cNvPr>
                      <xdr:cNvSpPr/>
                    </xdr:nvSpPr>
                    <xdr:spPr>
                      <a:xfrm rot="5400000">
                        <a:off x="4880193" y="40352612"/>
                        <a:ext cx="1790043" cy="5156636"/>
                      </a:xfrm>
                      <a:prstGeom prst="round2SameRect">
                        <a:avLst>
                          <a:gd name="adj1" fmla="val 5075"/>
                          <a:gd name="adj2" fmla="val 0"/>
                        </a:avLst>
                      </a:prstGeom>
                      <a:solidFill>
                        <a:srgbClr val="F2828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7" name="Rectangle: Top Corners Rounded 46">
                        <a:extLst>
                          <a:ext uri="{FF2B5EF4-FFF2-40B4-BE49-F238E27FC236}">
                            <a16:creationId xmlns:a16="http://schemas.microsoft.com/office/drawing/2014/main" id="{00000000-0008-0000-0000-00002F000000}"/>
                          </a:ext>
                        </a:extLst>
                      </xdr:cNvPr>
                      <xdr:cNvSpPr/>
                    </xdr:nvSpPr>
                    <xdr:spPr>
                      <a:xfrm rot="16200000">
                        <a:off x="2054700" y="42694865"/>
                        <a:ext cx="2030537" cy="427961"/>
                      </a:xfrm>
                      <a:prstGeom prst="round2SameRect">
                        <a:avLst/>
                      </a:prstGeom>
                      <a:solidFill>
                        <a:srgbClr val="F2828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1810580" y="3227994"/>
                      <a:ext cx="959976" cy="2409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rgbClr val="312B57"/>
                          </a:solidFill>
                          <a:latin typeface="Abadi" panose="020B0604020104020204" pitchFamily="34" charset="0"/>
                          <a:ea typeface="+mn-ea"/>
                          <a:cs typeface="+mn-cs"/>
                        </a:rPr>
                        <a:t>Missing Fees</a:t>
                      </a:r>
                    </a:p>
                  </xdr:txBody>
                </xdr:sp>
              </xdr:grpSp>
            </xdr:grpSp>
          </xdr:grpSp>
          <xdr:sp macro="" textlink="">
            <xdr:nvSpPr>
              <xdr:cNvPr id="34" name="TextBox 33">
                <a:hlinkClick xmlns:r="http://schemas.openxmlformats.org/officeDocument/2006/relationships" r:id="rId7"/>
                <a:extLst>
                  <a:ext uri="{FF2B5EF4-FFF2-40B4-BE49-F238E27FC236}">
                    <a16:creationId xmlns:a16="http://schemas.microsoft.com/office/drawing/2014/main" id="{00000000-0008-0000-0000-000022000000}"/>
                  </a:ext>
                </a:extLst>
              </xdr:cNvPr>
              <xdr:cNvSpPr txBox="1"/>
            </xdr:nvSpPr>
            <xdr:spPr>
              <a:xfrm>
                <a:off x="17468928" y="3232970"/>
                <a:ext cx="1072459" cy="3914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b="1" spc="300" baseline="0">
                    <a:solidFill>
                      <a:srgbClr val="312B57"/>
                    </a:solidFill>
                    <a:latin typeface="Comic Sans MS" panose="030F0702030302020204" pitchFamily="66" charset="0"/>
                  </a:rPr>
                  <a:t>IX</a:t>
                </a:r>
              </a:p>
            </xdr:txBody>
          </xdr:sp>
          <xdr:sp macro="" textlink="">
            <xdr:nvSpPr>
              <xdr:cNvPr id="35" name="TextBox 34">
                <a:hlinkClick xmlns:r="http://schemas.openxmlformats.org/officeDocument/2006/relationships" r:id="rId12"/>
                <a:extLst>
                  <a:ext uri="{FF2B5EF4-FFF2-40B4-BE49-F238E27FC236}">
                    <a16:creationId xmlns:a16="http://schemas.microsoft.com/office/drawing/2014/main" id="{00000000-0008-0000-0000-000023000000}"/>
                  </a:ext>
                </a:extLst>
              </xdr:cNvPr>
              <xdr:cNvSpPr txBox="1"/>
            </xdr:nvSpPr>
            <xdr:spPr>
              <a:xfrm>
                <a:off x="18952843" y="3224517"/>
                <a:ext cx="1070004" cy="391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b="1" spc="300" baseline="0">
                    <a:solidFill>
                      <a:srgbClr val="312B57"/>
                    </a:solidFill>
                    <a:latin typeface="Comic Sans MS" panose="030F0702030302020204" pitchFamily="66" charset="0"/>
                  </a:rPr>
                  <a:t>X</a:t>
                </a:r>
              </a:p>
            </xdr:txBody>
          </xdr: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867915" y="950763"/>
              <a:ext cx="14801016" cy="1486900"/>
              <a:chOff x="867915" y="950763"/>
              <a:chExt cx="14801016" cy="1486900"/>
            </a:xfrm>
          </xdr:grpSpPr>
          <xdr:grpSp>
            <xdr:nvGrpSpPr>
              <xdr:cNvPr id="26" name="Group 25">
                <a:extLst>
                  <a:ext uri="{FF2B5EF4-FFF2-40B4-BE49-F238E27FC236}">
                    <a16:creationId xmlns:a16="http://schemas.microsoft.com/office/drawing/2014/main" id="{00000000-0008-0000-0000-00001A000000}"/>
                  </a:ext>
                </a:extLst>
              </xdr:cNvPr>
              <xdr:cNvGrpSpPr/>
            </xdr:nvGrpSpPr>
            <xdr:grpSpPr>
              <a:xfrm>
                <a:off x="1130629" y="1986106"/>
                <a:ext cx="14538302" cy="451557"/>
                <a:chOff x="1121722" y="1846933"/>
                <a:chExt cx="14663929" cy="409805"/>
              </a:xfrm>
            </xdr:grpSpPr>
            <xdr:sp macro="" textlink="FinalAnalysis!D46">
              <xdr:nvSpPr>
                <xdr:cNvPr id="29" name="TextBox 28">
                  <a:extLst>
                    <a:ext uri="{FF2B5EF4-FFF2-40B4-BE49-F238E27FC236}">
                      <a16:creationId xmlns:a16="http://schemas.microsoft.com/office/drawing/2014/main" id="{00000000-0008-0000-0000-00001D000000}"/>
                    </a:ext>
                  </a:extLst>
                </xdr:cNvPr>
                <xdr:cNvSpPr txBox="1"/>
              </xdr:nvSpPr>
              <xdr:spPr>
                <a:xfrm>
                  <a:off x="1121722" y="1863663"/>
                  <a:ext cx="2134120" cy="376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60486AD2-9D66-4FB6-BF08-B5BF70004A21}" type="TxLink">
                    <a:rPr lang="en-US" sz="2400" b="1" i="0" u="none" strike="noStrike">
                      <a:solidFill>
                        <a:srgbClr val="312B57"/>
                      </a:solidFill>
                      <a:latin typeface="Calisto MT" panose="02040603050505030304" pitchFamily="18" charset="0"/>
                      <a:ea typeface="+mn-ea"/>
                      <a:cs typeface="+mn-cs"/>
                    </a:rPr>
                    <a:pPr marL="0" indent="0" algn="ctr"/>
                    <a:t>₹24,76,250.00 </a:t>
                  </a:fld>
                  <a:endParaRPr lang="en-US" sz="2400" b="1" i="0" u="none" strike="noStrike">
                    <a:solidFill>
                      <a:srgbClr val="312B57"/>
                    </a:solidFill>
                    <a:latin typeface="Calisto MT" panose="02040603050505030304" pitchFamily="18" charset="0"/>
                    <a:ea typeface="+mn-ea"/>
                    <a:cs typeface="+mn-cs"/>
                  </a:endParaRPr>
                </a:p>
              </xdr:txBody>
            </xdr:sp>
            <xdr:sp macro="" textlink="FinalAnalysis!F46">
              <xdr:nvSpPr>
                <xdr:cNvPr id="30" name="TextBox 29">
                  <a:extLst>
                    <a:ext uri="{FF2B5EF4-FFF2-40B4-BE49-F238E27FC236}">
                      <a16:creationId xmlns:a16="http://schemas.microsoft.com/office/drawing/2014/main" id="{00000000-0008-0000-0000-00001E000000}"/>
                    </a:ext>
                  </a:extLst>
                </xdr:cNvPr>
                <xdr:cNvSpPr txBox="1"/>
              </xdr:nvSpPr>
              <xdr:spPr>
                <a:xfrm>
                  <a:off x="5583409" y="1860431"/>
                  <a:ext cx="1696220" cy="382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D3888B22-4EB3-4F38-A337-A756DAA1A740}" type="TxLink">
                    <a:rPr lang="en-US" sz="2400" b="1" i="0" u="none" strike="noStrike">
                      <a:solidFill>
                        <a:srgbClr val="312B57"/>
                      </a:solidFill>
                      <a:latin typeface="Calisto MT" panose="02040603050505030304" pitchFamily="18" charset="0"/>
                      <a:ea typeface="+mn-ea"/>
                      <a:cs typeface="+mn-cs"/>
                    </a:rPr>
                    <a:pPr marL="0" indent="0" algn="ctr"/>
                    <a:t>₹17,73,775.00 </a:t>
                  </a:fld>
                  <a:endParaRPr lang="en-IN" sz="2400" b="1" i="0" u="none" strike="noStrike">
                    <a:solidFill>
                      <a:srgbClr val="312B57"/>
                    </a:solidFill>
                    <a:latin typeface="Calisto MT" panose="02040603050505030304" pitchFamily="18" charset="0"/>
                    <a:ea typeface="+mn-ea"/>
                    <a:cs typeface="+mn-cs"/>
                  </a:endParaRPr>
                </a:p>
              </xdr:txBody>
            </xdr:sp>
            <xdr:sp macro="" textlink="FinalAnalysis!G46">
              <xdr:nvSpPr>
                <xdr:cNvPr id="31" name="TextBox 30">
                  <a:extLst>
                    <a:ext uri="{FF2B5EF4-FFF2-40B4-BE49-F238E27FC236}">
                      <a16:creationId xmlns:a16="http://schemas.microsoft.com/office/drawing/2014/main" id="{00000000-0008-0000-0000-00001F000000}"/>
                    </a:ext>
                  </a:extLst>
                </xdr:cNvPr>
                <xdr:cNvSpPr txBox="1"/>
              </xdr:nvSpPr>
              <xdr:spPr>
                <a:xfrm>
                  <a:off x="9481845" y="1846933"/>
                  <a:ext cx="2094671" cy="4098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3E4F178F-42D9-4664-AB34-9F2768C74A98}" type="TxLink">
                    <a:rPr lang="en-US" sz="2400" b="1" i="0" u="none" strike="noStrike">
                      <a:solidFill>
                        <a:srgbClr val="312B57"/>
                      </a:solidFill>
                      <a:latin typeface="Calisto MT" panose="02040603050505030304" pitchFamily="18" charset="0"/>
                      <a:ea typeface="+mn-ea"/>
                      <a:cs typeface="+mn-cs"/>
                    </a:rPr>
                    <a:pPr marL="0" indent="0" algn="ctr"/>
                    <a:t>₹7,02,475.00 </a:t>
                  </a:fld>
                  <a:endParaRPr lang="en-IN" sz="2400" b="1" i="0" u="none" strike="noStrike">
                    <a:solidFill>
                      <a:srgbClr val="312B57"/>
                    </a:solidFill>
                    <a:latin typeface="Calisto MT" panose="02040603050505030304" pitchFamily="18" charset="0"/>
                    <a:ea typeface="+mn-ea"/>
                    <a:cs typeface="+mn-cs"/>
                  </a:endParaRPr>
                </a:p>
              </xdr:txBody>
            </xdr:sp>
            <xdr:sp macro="" textlink="FinalAnalysis!C46">
              <xdr:nvSpPr>
                <xdr:cNvPr id="32" name="TextBox 31">
                  <a:extLst>
                    <a:ext uri="{FF2B5EF4-FFF2-40B4-BE49-F238E27FC236}">
                      <a16:creationId xmlns:a16="http://schemas.microsoft.com/office/drawing/2014/main" id="{00000000-0008-0000-0000-000020000000}"/>
                    </a:ext>
                  </a:extLst>
                </xdr:cNvPr>
                <xdr:cNvSpPr txBox="1"/>
              </xdr:nvSpPr>
              <xdr:spPr>
                <a:xfrm>
                  <a:off x="13761816" y="1846933"/>
                  <a:ext cx="2023835" cy="4098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87B3E90A-6F1E-44E0-A3AC-46279D7E59B1}" type="TxLink">
                    <a:rPr lang="en-US" sz="2400" b="1" i="0" u="none" strike="noStrike">
                      <a:solidFill>
                        <a:srgbClr val="312B57"/>
                      </a:solidFill>
                      <a:latin typeface="Calisto MT" panose="02040603050505030304" pitchFamily="18" charset="0"/>
                      <a:ea typeface="+mn-ea"/>
                      <a:cs typeface="+mn-cs"/>
                    </a:rPr>
                    <a:pPr marL="0" indent="0" algn="ctr"/>
                    <a:t>₹1,06,500.00 </a:t>
                  </a:fld>
                  <a:endParaRPr lang="en-IN" sz="2400" b="1" i="0" u="none" strike="noStrike">
                    <a:solidFill>
                      <a:srgbClr val="312B57"/>
                    </a:solidFill>
                    <a:latin typeface="Calisto MT" panose="02040603050505030304" pitchFamily="18" charset="0"/>
                    <a:ea typeface="+mn-ea"/>
                    <a:cs typeface="+mn-cs"/>
                  </a:endParaRPr>
                </a:p>
              </xdr:txBody>
            </xdr:sp>
          </xdr:grpSp>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867915" y="950763"/>
                <a:ext cx="4822865" cy="3248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badi" panose="020B0604020104020204" pitchFamily="34" charset="0"/>
                  </a:rPr>
                  <a:t>Welcome to NLMA, </a:t>
                </a:r>
              </a:p>
            </xdr:txBody>
          </xdr:sp>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2522526" y="1224226"/>
                <a:ext cx="2919124" cy="345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a:solidFill>
                      <a:schemeClr val="bg1"/>
                    </a:solidFill>
                    <a:latin typeface="Abadi" panose="020B0604020104020204" pitchFamily="34" charset="0"/>
                  </a:rPr>
                  <a:t>You are viewing the report for</a:t>
                </a:r>
                <a:r>
                  <a:rPr lang="en-IN" sz="1600" baseline="0">
                    <a:solidFill>
                      <a:schemeClr val="bg1"/>
                    </a:solidFill>
                    <a:latin typeface="Abadi" panose="020B0604020104020204" pitchFamily="34" charset="0"/>
                  </a:rPr>
                  <a:t> </a:t>
                </a:r>
                <a:r>
                  <a:rPr lang="en-IN" sz="1600">
                    <a:solidFill>
                      <a:schemeClr val="bg1"/>
                    </a:solidFill>
                    <a:latin typeface="Abadi" panose="020B0604020104020204" pitchFamily="34" charset="0"/>
                  </a:rPr>
                  <a:t> </a:t>
                </a:r>
              </a:p>
            </xdr:txBody>
          </xdr:sp>
        </xdr:grpSp>
      </xdr:grpSp>
      <xdr:sp macro="" textlink="FinalAnalysis!J46">
        <xdr:nvSpPr>
          <xdr:cNvPr id="21" name="TextBox 20">
            <a:extLst>
              <a:ext uri="{FF2B5EF4-FFF2-40B4-BE49-F238E27FC236}">
                <a16:creationId xmlns:a16="http://schemas.microsoft.com/office/drawing/2014/main" id="{00000000-0008-0000-0000-000015000000}"/>
              </a:ext>
            </a:extLst>
          </xdr:cNvPr>
          <xdr:cNvSpPr txBox="1"/>
        </xdr:nvSpPr>
        <xdr:spPr>
          <a:xfrm>
            <a:off x="17305778" y="2069560"/>
            <a:ext cx="724864" cy="618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07A93487-E837-4562-AB47-664953A966F8}" type="TxLink">
              <a:rPr lang="en-US" sz="2400" b="1" i="0" u="none" strike="noStrike">
                <a:solidFill>
                  <a:srgbClr val="312B57"/>
                </a:solidFill>
                <a:latin typeface="Calisto MT" panose="02040603050505030304" pitchFamily="18" charset="0"/>
                <a:ea typeface="+mn-ea"/>
                <a:cs typeface="+mn-cs"/>
              </a:rPr>
              <a:pPr marL="0" indent="0" algn="ctr"/>
              <a:t>121</a:t>
            </a:fld>
            <a:endParaRPr lang="en-US" sz="2400" b="1" i="0" u="none" strike="noStrike">
              <a:solidFill>
                <a:srgbClr val="312B57"/>
              </a:solidFill>
              <a:latin typeface="Calisto MT" panose="02040603050505030304" pitchFamily="18" charset="0"/>
              <a:ea typeface="+mn-ea"/>
              <a:cs typeface="+mn-cs"/>
            </a:endParaRPr>
          </a:p>
        </xdr:txBody>
      </xdr:sp>
      <xdr:sp macro="" textlink="FinalAnalysis!H46">
        <xdr:nvSpPr>
          <xdr:cNvPr id="22" name="TextBox 21">
            <a:extLst>
              <a:ext uri="{FF2B5EF4-FFF2-40B4-BE49-F238E27FC236}">
                <a16:creationId xmlns:a16="http://schemas.microsoft.com/office/drawing/2014/main" id="{00000000-0008-0000-0000-000016000000}"/>
              </a:ext>
            </a:extLst>
          </xdr:cNvPr>
          <xdr:cNvSpPr txBox="1"/>
        </xdr:nvSpPr>
        <xdr:spPr>
          <a:xfrm>
            <a:off x="19207686" y="1796678"/>
            <a:ext cx="670909" cy="405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6D95CC7-7F13-45E3-BAEC-239CC1ED218E}" type="TxLink">
              <a:rPr lang="en-US" sz="1800" b="1" i="0" u="none" strike="noStrike">
                <a:solidFill>
                  <a:srgbClr val="312B57"/>
                </a:solidFill>
                <a:latin typeface="Calisto MT" panose="02040603050505030304" pitchFamily="18" charset="0"/>
                <a:ea typeface="+mn-ea"/>
                <a:cs typeface="+mn-cs"/>
              </a:rPr>
              <a:pPr marL="0" indent="0"/>
              <a:t>60</a:t>
            </a:fld>
            <a:endParaRPr lang="en-IN" sz="1800" b="1" i="0" u="none" strike="noStrike">
              <a:solidFill>
                <a:srgbClr val="312B57"/>
              </a:solidFill>
              <a:latin typeface="Calisto MT" panose="02040603050505030304" pitchFamily="18" charset="0"/>
              <a:ea typeface="+mn-ea"/>
              <a:cs typeface="+mn-cs"/>
            </a:endParaRPr>
          </a:p>
        </xdr:txBody>
      </xdr:sp>
      <xdr:sp macro="" textlink="FinalAnalysis!I46">
        <xdr:nvSpPr>
          <xdr:cNvPr id="23" name="TextBox 22">
            <a:extLst>
              <a:ext uri="{FF2B5EF4-FFF2-40B4-BE49-F238E27FC236}">
                <a16:creationId xmlns:a16="http://schemas.microsoft.com/office/drawing/2014/main" id="{00000000-0008-0000-0000-000017000000}"/>
              </a:ext>
            </a:extLst>
          </xdr:cNvPr>
          <xdr:cNvSpPr txBox="1"/>
        </xdr:nvSpPr>
        <xdr:spPr>
          <a:xfrm>
            <a:off x="19213548" y="2347947"/>
            <a:ext cx="670909" cy="40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AA7241BB-C7F5-4662-B550-7642999BA7B8}" type="TxLink">
              <a:rPr lang="en-US" sz="1800" b="1" i="0" u="none" strike="noStrike">
                <a:solidFill>
                  <a:srgbClr val="312B57"/>
                </a:solidFill>
                <a:latin typeface="Calisto MT" panose="02040603050505030304" pitchFamily="18" charset="0"/>
                <a:ea typeface="+mn-ea"/>
                <a:cs typeface="+mn-cs"/>
              </a:rPr>
              <a:pPr marL="0" indent="0"/>
              <a:t>61</a:t>
            </a:fld>
            <a:endParaRPr lang="en-IN" sz="1800" b="1" i="0" u="none" strike="noStrike">
              <a:solidFill>
                <a:srgbClr val="312B57"/>
              </a:solidFill>
              <a:latin typeface="Calisto MT" panose="02040603050505030304" pitchFamily="18" charset="0"/>
              <a:ea typeface="+mn-ea"/>
              <a:cs typeface="+mn-cs"/>
            </a:endParaRPr>
          </a:p>
        </xdr:txBody>
      </xdr:sp>
    </xdr:grpSp>
    <xdr:clientData/>
  </xdr:twoCellAnchor>
  <xdr:twoCellAnchor>
    <xdr:from>
      <xdr:col>6</xdr:col>
      <xdr:colOff>538070</xdr:colOff>
      <xdr:row>6</xdr:row>
      <xdr:rowOff>155964</xdr:rowOff>
    </xdr:from>
    <xdr:to>
      <xdr:col>11</xdr:col>
      <xdr:colOff>387817</xdr:colOff>
      <xdr:row>8</xdr:row>
      <xdr:rowOff>129585</xdr:rowOff>
    </xdr:to>
    <xdr:sp macro="" textlink="FinalAnalysis!C30">
      <xdr:nvSpPr>
        <xdr:cNvPr id="163" name="TextBox 162">
          <a:extLst>
            <a:ext uri="{FF2B5EF4-FFF2-40B4-BE49-F238E27FC236}">
              <a16:creationId xmlns:a16="http://schemas.microsoft.com/office/drawing/2014/main" id="{00000000-0008-0000-0000-0000A3000000}"/>
            </a:ext>
          </a:extLst>
        </xdr:cNvPr>
        <xdr:cNvSpPr txBox="1"/>
      </xdr:nvSpPr>
      <xdr:spPr>
        <a:xfrm>
          <a:off x="5370420" y="1260864"/>
          <a:ext cx="2281797" cy="341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933EE3D1-12C7-42F5-B0CF-9A39DDD649CE}" type="TxLink">
            <a:rPr lang="en-US" sz="1600" b="0" i="0" u="none" strike="noStrike">
              <a:solidFill>
                <a:schemeClr val="bg1">
                  <a:lumMod val="95000"/>
                </a:schemeClr>
              </a:solidFill>
              <a:latin typeface="Abadi" panose="020B0604020104020204" pitchFamily="34" charset="0"/>
              <a:ea typeface="+mn-ea"/>
              <a:cs typeface="+mn-cs"/>
            </a:rPr>
            <a:pPr marL="0" indent="0"/>
            <a:t>Overall</a:t>
          </a:fld>
          <a:endParaRPr lang="en-IN" sz="1600" b="0">
            <a:solidFill>
              <a:schemeClr val="bg1">
                <a:lumMod val="95000"/>
              </a:schemeClr>
            </a:solidFill>
            <a:latin typeface="Abadi" panose="020B0604020104020204" pitchFamily="34" charset="0"/>
            <a:ea typeface="+mn-ea"/>
            <a:cs typeface="+mn-cs"/>
          </a:endParaRPr>
        </a:p>
      </xdr:txBody>
    </xdr:sp>
    <xdr:clientData/>
  </xdr:twoCellAnchor>
  <xdr:twoCellAnchor>
    <xdr:from>
      <xdr:col>11</xdr:col>
      <xdr:colOff>1372054</xdr:colOff>
      <xdr:row>48</xdr:row>
      <xdr:rowOff>11339</xdr:rowOff>
    </xdr:from>
    <xdr:to>
      <xdr:col>13</xdr:col>
      <xdr:colOff>306161</xdr:colOff>
      <xdr:row>50</xdr:row>
      <xdr:rowOff>113393</xdr:rowOff>
    </xdr:to>
    <xdr:sp macro="" textlink="">
      <xdr:nvSpPr>
        <xdr:cNvPr id="164" name="Rectangle 163">
          <a:extLst>
            <a:ext uri="{FF2B5EF4-FFF2-40B4-BE49-F238E27FC236}">
              <a16:creationId xmlns:a16="http://schemas.microsoft.com/office/drawing/2014/main" id="{00000000-0008-0000-0000-0000A4000000}"/>
            </a:ext>
          </a:extLst>
        </xdr:cNvPr>
        <xdr:cNvSpPr/>
      </xdr:nvSpPr>
      <xdr:spPr>
        <a:xfrm>
          <a:off x="8636454" y="8907689"/>
          <a:ext cx="1690007" cy="470354"/>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1326697</xdr:colOff>
      <xdr:row>76</xdr:row>
      <xdr:rowOff>124732</xdr:rowOff>
    </xdr:from>
    <xdr:to>
      <xdr:col>13</xdr:col>
      <xdr:colOff>260804</xdr:colOff>
      <xdr:row>79</xdr:row>
      <xdr:rowOff>56697</xdr:rowOff>
    </xdr:to>
    <xdr:sp macro="" textlink="">
      <xdr:nvSpPr>
        <xdr:cNvPr id="165" name="Rectangle 164">
          <a:extLst>
            <a:ext uri="{FF2B5EF4-FFF2-40B4-BE49-F238E27FC236}">
              <a16:creationId xmlns:a16="http://schemas.microsoft.com/office/drawing/2014/main" id="{00000000-0008-0000-0000-0000A5000000}"/>
            </a:ext>
          </a:extLst>
        </xdr:cNvPr>
        <xdr:cNvSpPr/>
      </xdr:nvSpPr>
      <xdr:spPr>
        <a:xfrm>
          <a:off x="8591097" y="14221732"/>
          <a:ext cx="1690007" cy="48441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136766</xdr:colOff>
      <xdr:row>72</xdr:row>
      <xdr:rowOff>76001</xdr:rowOff>
    </xdr:from>
    <xdr:to>
      <xdr:col>26</xdr:col>
      <xdr:colOff>184865</xdr:colOff>
      <xdr:row>75</xdr:row>
      <xdr:rowOff>50796</xdr:rowOff>
    </xdr:to>
    <xdr:sp macro="" textlink="">
      <xdr:nvSpPr>
        <xdr:cNvPr id="166" name="Arrow: Up 165">
          <a:hlinkClick xmlns:r="http://schemas.openxmlformats.org/officeDocument/2006/relationships" r:id="rId13"/>
          <a:extLst>
            <a:ext uri="{FF2B5EF4-FFF2-40B4-BE49-F238E27FC236}">
              <a16:creationId xmlns:a16="http://schemas.microsoft.com/office/drawing/2014/main" id="{00000000-0008-0000-0000-0000A6000000}"/>
            </a:ext>
          </a:extLst>
        </xdr:cNvPr>
        <xdr:cNvSpPr/>
      </xdr:nvSpPr>
      <xdr:spPr>
        <a:xfrm>
          <a:off x="19726516" y="13436401"/>
          <a:ext cx="302099" cy="527245"/>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25</xdr:col>
      <xdr:colOff>58796</xdr:colOff>
      <xdr:row>46</xdr:row>
      <xdr:rowOff>70556</xdr:rowOff>
    </xdr:from>
    <xdr:to>
      <xdr:col>26</xdr:col>
      <xdr:colOff>106895</xdr:colOff>
      <xdr:row>49</xdr:row>
      <xdr:rowOff>45350</xdr:rowOff>
    </xdr:to>
    <xdr:sp macro="" textlink="">
      <xdr:nvSpPr>
        <xdr:cNvPr id="167" name="Arrow: Up 166">
          <a:hlinkClick xmlns:r="http://schemas.openxmlformats.org/officeDocument/2006/relationships" r:id="rId13"/>
          <a:extLst>
            <a:ext uri="{FF2B5EF4-FFF2-40B4-BE49-F238E27FC236}">
              <a16:creationId xmlns:a16="http://schemas.microsoft.com/office/drawing/2014/main" id="{00000000-0008-0000-0000-0000A7000000}"/>
            </a:ext>
          </a:extLst>
        </xdr:cNvPr>
        <xdr:cNvSpPr/>
      </xdr:nvSpPr>
      <xdr:spPr>
        <a:xfrm>
          <a:off x="19648546" y="8598606"/>
          <a:ext cx="302099" cy="527244"/>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25</xdr:col>
      <xdr:colOff>168312</xdr:colOff>
      <xdr:row>102</xdr:row>
      <xdr:rowOff>28172</xdr:rowOff>
    </xdr:from>
    <xdr:to>
      <xdr:col>26</xdr:col>
      <xdr:colOff>216411</xdr:colOff>
      <xdr:row>104</xdr:row>
      <xdr:rowOff>125082</xdr:rowOff>
    </xdr:to>
    <xdr:sp macro="" textlink="">
      <xdr:nvSpPr>
        <xdr:cNvPr id="168" name="Arrow: Up 167">
          <a:hlinkClick xmlns:r="http://schemas.openxmlformats.org/officeDocument/2006/relationships" r:id="rId13"/>
          <a:extLst>
            <a:ext uri="{FF2B5EF4-FFF2-40B4-BE49-F238E27FC236}">
              <a16:creationId xmlns:a16="http://schemas.microsoft.com/office/drawing/2014/main" id="{00000000-0008-0000-0000-0000A8000000}"/>
            </a:ext>
          </a:extLst>
        </xdr:cNvPr>
        <xdr:cNvSpPr/>
      </xdr:nvSpPr>
      <xdr:spPr>
        <a:xfrm>
          <a:off x="19758062" y="18989272"/>
          <a:ext cx="302099" cy="490610"/>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25</xdr:col>
      <xdr:colOff>223020</xdr:colOff>
      <xdr:row>128</xdr:row>
      <xdr:rowOff>82880</xdr:rowOff>
    </xdr:from>
    <xdr:to>
      <xdr:col>26</xdr:col>
      <xdr:colOff>271119</xdr:colOff>
      <xdr:row>131</xdr:row>
      <xdr:rowOff>57674</xdr:rowOff>
    </xdr:to>
    <xdr:sp macro="" textlink="">
      <xdr:nvSpPr>
        <xdr:cNvPr id="169" name="Arrow: Up 168">
          <a:hlinkClick xmlns:r="http://schemas.openxmlformats.org/officeDocument/2006/relationships" r:id="rId13"/>
          <a:extLst>
            <a:ext uri="{FF2B5EF4-FFF2-40B4-BE49-F238E27FC236}">
              <a16:creationId xmlns:a16="http://schemas.microsoft.com/office/drawing/2014/main" id="{00000000-0008-0000-0000-0000A9000000}"/>
            </a:ext>
          </a:extLst>
        </xdr:cNvPr>
        <xdr:cNvSpPr/>
      </xdr:nvSpPr>
      <xdr:spPr>
        <a:xfrm>
          <a:off x="19812770" y="23908080"/>
          <a:ext cx="302099" cy="527244"/>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15</xdr:col>
          <xdr:colOff>184150</xdr:colOff>
          <xdr:row>86</xdr:row>
          <xdr:rowOff>44450</xdr:rowOff>
        </xdr:from>
        <xdr:to>
          <xdr:col>15</xdr:col>
          <xdr:colOff>374650</xdr:colOff>
          <xdr:row>93</xdr:row>
          <xdr:rowOff>107950</xdr:rowOff>
        </xdr:to>
        <xdr:sp macro="" textlink="">
          <xdr:nvSpPr>
            <xdr:cNvPr id="8199" name="Scroll Bar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228600</xdr:colOff>
          <xdr:row>86</xdr:row>
          <xdr:rowOff>6350</xdr:rowOff>
        </xdr:from>
        <xdr:to>
          <xdr:col>24</xdr:col>
          <xdr:colOff>412750</xdr:colOff>
          <xdr:row>93</xdr:row>
          <xdr:rowOff>107950</xdr:rowOff>
        </xdr:to>
        <xdr:sp macro="" textlink="">
          <xdr:nvSpPr>
            <xdr:cNvPr id="8200" name="Scroll Bar 8" hidden="1">
              <a:extLst>
                <a:ext uri="{63B3BB69-23CF-44E3-9099-C40C66FF867C}">
                  <a14:compatExt spid="_x0000_s8200"/>
                </a:ext>
                <a:ext uri="{FF2B5EF4-FFF2-40B4-BE49-F238E27FC236}">
                  <a16:creationId xmlns:a16="http://schemas.microsoft.com/office/drawing/2014/main" id="{00000000-0008-0000-0000-000008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113</xdr:row>
          <xdr:rowOff>19050</xdr:rowOff>
        </xdr:from>
        <xdr:to>
          <xdr:col>8</xdr:col>
          <xdr:colOff>69850</xdr:colOff>
          <xdr:row>120</xdr:row>
          <xdr:rowOff>120650</xdr:rowOff>
        </xdr:to>
        <xdr:sp macro="" textlink="">
          <xdr:nvSpPr>
            <xdr:cNvPr id="8201" name="Scroll Bar 9" hidden="1">
              <a:extLst>
                <a:ext uri="{63B3BB69-23CF-44E3-9099-C40C66FF867C}">
                  <a14:compatExt spid="_x0000_s8201"/>
                </a:ext>
                <a:ext uri="{FF2B5EF4-FFF2-40B4-BE49-F238E27FC236}">
                  <a16:creationId xmlns:a16="http://schemas.microsoft.com/office/drawing/2014/main" id="{00000000-0008-0000-0000-000009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113</xdr:row>
          <xdr:rowOff>12700</xdr:rowOff>
        </xdr:from>
        <xdr:to>
          <xdr:col>15</xdr:col>
          <xdr:colOff>387350</xdr:colOff>
          <xdr:row>120</xdr:row>
          <xdr:rowOff>114300</xdr:rowOff>
        </xdr:to>
        <xdr:sp macro="" textlink="">
          <xdr:nvSpPr>
            <xdr:cNvPr id="8202" name="Scroll Bar 10" hidden="1">
              <a:extLst>
                <a:ext uri="{63B3BB69-23CF-44E3-9099-C40C66FF867C}">
                  <a14:compatExt spid="_x0000_s8202"/>
                </a:ext>
                <a:ext uri="{FF2B5EF4-FFF2-40B4-BE49-F238E27FC236}">
                  <a16:creationId xmlns:a16="http://schemas.microsoft.com/office/drawing/2014/main" id="{00000000-0008-0000-0000-00000A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234950</xdr:colOff>
          <xdr:row>112</xdr:row>
          <xdr:rowOff>165100</xdr:rowOff>
        </xdr:from>
        <xdr:to>
          <xdr:col>24</xdr:col>
          <xdr:colOff>431800</xdr:colOff>
          <xdr:row>120</xdr:row>
          <xdr:rowOff>82550</xdr:rowOff>
        </xdr:to>
        <xdr:sp macro="" textlink="">
          <xdr:nvSpPr>
            <xdr:cNvPr id="8203" name="Scroll Bar 11" hidden="1">
              <a:extLst>
                <a:ext uri="{63B3BB69-23CF-44E3-9099-C40C66FF867C}">
                  <a14:compatExt spid="_x0000_s8203"/>
                </a:ext>
                <a:ext uri="{FF2B5EF4-FFF2-40B4-BE49-F238E27FC236}">
                  <a16:creationId xmlns:a16="http://schemas.microsoft.com/office/drawing/2014/main" id="{00000000-0008-0000-0000-00000B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141</xdr:row>
          <xdr:rowOff>6350</xdr:rowOff>
        </xdr:from>
        <xdr:to>
          <xdr:col>8</xdr:col>
          <xdr:colOff>114300</xdr:colOff>
          <xdr:row>148</xdr:row>
          <xdr:rowOff>107950</xdr:rowOff>
        </xdr:to>
        <xdr:sp macro="" textlink="">
          <xdr:nvSpPr>
            <xdr:cNvPr id="8204" name="Scroll Bar 12" hidden="1">
              <a:extLst>
                <a:ext uri="{63B3BB69-23CF-44E3-9099-C40C66FF867C}">
                  <a14:compatExt spid="_x0000_s8204"/>
                </a:ext>
                <a:ext uri="{FF2B5EF4-FFF2-40B4-BE49-F238E27FC236}">
                  <a16:creationId xmlns:a16="http://schemas.microsoft.com/office/drawing/2014/main" id="{00000000-0008-0000-0000-00000C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306551</xdr:colOff>
      <xdr:row>23</xdr:row>
      <xdr:rowOff>149989</xdr:rowOff>
    </xdr:from>
    <xdr:to>
      <xdr:col>15</xdr:col>
      <xdr:colOff>559248</xdr:colOff>
      <xdr:row>47</xdr:row>
      <xdr:rowOff>127598</xdr:rowOff>
    </xdr:to>
    <xdr:grpSp>
      <xdr:nvGrpSpPr>
        <xdr:cNvPr id="176" name="Group 175">
          <a:extLst>
            <a:ext uri="{FF2B5EF4-FFF2-40B4-BE49-F238E27FC236}">
              <a16:creationId xmlns:a16="http://schemas.microsoft.com/office/drawing/2014/main" id="{00000000-0008-0000-0000-0000B0000000}"/>
            </a:ext>
          </a:extLst>
        </xdr:cNvPr>
        <xdr:cNvGrpSpPr/>
      </xdr:nvGrpSpPr>
      <xdr:grpSpPr>
        <a:xfrm>
          <a:off x="6853620" y="4430765"/>
          <a:ext cx="6153818" cy="4444505"/>
          <a:chOff x="366114" y="4110669"/>
          <a:chExt cx="6165138" cy="4314982"/>
        </a:xfrm>
      </xdr:grpSpPr>
      <xdr:grpSp>
        <xdr:nvGrpSpPr>
          <xdr:cNvPr id="177" name="Group 176">
            <a:extLst>
              <a:ext uri="{FF2B5EF4-FFF2-40B4-BE49-F238E27FC236}">
                <a16:creationId xmlns:a16="http://schemas.microsoft.com/office/drawing/2014/main" id="{00000000-0008-0000-0000-0000B1000000}"/>
              </a:ext>
            </a:extLst>
          </xdr:cNvPr>
          <xdr:cNvGrpSpPr/>
        </xdr:nvGrpSpPr>
        <xdr:grpSpPr>
          <a:xfrm>
            <a:off x="366114" y="4110669"/>
            <a:ext cx="6165138" cy="4314982"/>
            <a:chOff x="366114" y="4044658"/>
            <a:chExt cx="6144330" cy="4242692"/>
          </a:xfrm>
        </xdr:grpSpPr>
        <xdr:grpSp>
          <xdr:nvGrpSpPr>
            <xdr:cNvPr id="200" name="Group 199">
              <a:extLst>
                <a:ext uri="{FF2B5EF4-FFF2-40B4-BE49-F238E27FC236}">
                  <a16:creationId xmlns:a16="http://schemas.microsoft.com/office/drawing/2014/main" id="{00000000-0008-0000-0000-0000C8000000}"/>
                </a:ext>
              </a:extLst>
            </xdr:cNvPr>
            <xdr:cNvGrpSpPr/>
          </xdr:nvGrpSpPr>
          <xdr:grpSpPr>
            <a:xfrm>
              <a:off x="366114" y="4044658"/>
              <a:ext cx="6144330" cy="4242692"/>
              <a:chOff x="344766" y="4265803"/>
              <a:chExt cx="6055631" cy="4281498"/>
            </a:xfrm>
          </xdr:grpSpPr>
          <xdr:grpSp>
            <xdr:nvGrpSpPr>
              <xdr:cNvPr id="206" name="Group 205">
                <a:extLst>
                  <a:ext uri="{FF2B5EF4-FFF2-40B4-BE49-F238E27FC236}">
                    <a16:creationId xmlns:a16="http://schemas.microsoft.com/office/drawing/2014/main" id="{00000000-0008-0000-0000-0000CE000000}"/>
                  </a:ext>
                </a:extLst>
              </xdr:cNvPr>
              <xdr:cNvGrpSpPr>
                <a:grpSpLocks/>
              </xdr:cNvGrpSpPr>
            </xdr:nvGrpSpPr>
            <xdr:grpSpPr>
              <a:xfrm>
                <a:off x="344766" y="4265803"/>
                <a:ext cx="6055631" cy="4281498"/>
                <a:chOff x="4615628" y="16240128"/>
                <a:chExt cx="5388081" cy="4325193"/>
              </a:xfrm>
            </xdr:grpSpPr>
            <xdr:sp macro="" textlink="">
              <xdr:nvSpPr>
                <xdr:cNvPr id="215" name="Rectangle 214">
                  <a:extLst>
                    <a:ext uri="{FF2B5EF4-FFF2-40B4-BE49-F238E27FC236}">
                      <a16:creationId xmlns:a16="http://schemas.microsoft.com/office/drawing/2014/main" id="{00000000-0008-0000-0000-0000D700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16" name="Group 215">
                  <a:extLst>
                    <a:ext uri="{FF2B5EF4-FFF2-40B4-BE49-F238E27FC236}">
                      <a16:creationId xmlns:a16="http://schemas.microsoft.com/office/drawing/2014/main" id="{00000000-0008-0000-0000-0000D8000000}"/>
                    </a:ext>
                  </a:extLst>
                </xdr:cNvPr>
                <xdr:cNvGrpSpPr/>
              </xdr:nvGrpSpPr>
              <xdr:grpSpPr>
                <a:xfrm>
                  <a:off x="4615628" y="16240128"/>
                  <a:ext cx="5388081" cy="4325193"/>
                  <a:chOff x="4615628" y="16240128"/>
                  <a:chExt cx="5388081" cy="4325193"/>
                </a:xfrm>
              </xdr:grpSpPr>
              <xdr:sp macro="" textlink="">
                <xdr:nvSpPr>
                  <xdr:cNvPr id="225" name="Rectangle: Rounded Corners 224">
                    <a:extLst>
                      <a:ext uri="{FF2B5EF4-FFF2-40B4-BE49-F238E27FC236}">
                        <a16:creationId xmlns:a16="http://schemas.microsoft.com/office/drawing/2014/main" id="{00000000-0008-0000-0000-0000E100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26" name="Group 225">
                    <a:extLst>
                      <a:ext uri="{FF2B5EF4-FFF2-40B4-BE49-F238E27FC236}">
                        <a16:creationId xmlns:a16="http://schemas.microsoft.com/office/drawing/2014/main" id="{00000000-0008-0000-0000-0000E2000000}"/>
                      </a:ext>
                    </a:extLst>
                  </xdr:cNvPr>
                  <xdr:cNvGrpSpPr/>
                </xdr:nvGrpSpPr>
                <xdr:grpSpPr>
                  <a:xfrm>
                    <a:off x="4615628" y="16240128"/>
                    <a:ext cx="5388081" cy="4325193"/>
                    <a:chOff x="4615628" y="16240128"/>
                    <a:chExt cx="5388081" cy="4325193"/>
                  </a:xfrm>
                </xdr:grpSpPr>
                <xdr:sp macro="" textlink="">
                  <xdr:nvSpPr>
                    <xdr:cNvPr id="228" name="TextBox 227">
                      <a:extLst>
                        <a:ext uri="{FF2B5EF4-FFF2-40B4-BE49-F238E27FC236}">
                          <a16:creationId xmlns:a16="http://schemas.microsoft.com/office/drawing/2014/main" id="{00000000-0008-0000-0000-0000E4000000}"/>
                        </a:ext>
                      </a:extLst>
                    </xdr:cNvPr>
                    <xdr:cNvSpPr txBox="1"/>
                  </xdr:nvSpPr>
                  <xdr:spPr>
                    <a:xfrm rot="10800000">
                      <a:off x="4616920" y="19139811"/>
                      <a:ext cx="5386535" cy="142551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229" name="TextBox 228">
                      <a:extLst>
                        <a:ext uri="{FF2B5EF4-FFF2-40B4-BE49-F238E27FC236}">
                          <a16:creationId xmlns:a16="http://schemas.microsoft.com/office/drawing/2014/main" id="{00000000-0008-0000-0000-0000E5000000}"/>
                        </a:ext>
                      </a:extLst>
                    </xdr:cNvPr>
                    <xdr:cNvSpPr txBox="1"/>
                  </xdr:nvSpPr>
                  <xdr:spPr>
                    <a:xfrm rot="5400000">
                      <a:off x="8531448" y="18482441"/>
                      <a:ext cx="2853472" cy="87824"/>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230" name="TextBox 229">
                      <a:extLst>
                        <a:ext uri="{FF2B5EF4-FFF2-40B4-BE49-F238E27FC236}">
                          <a16:creationId xmlns:a16="http://schemas.microsoft.com/office/drawing/2014/main" id="{00000000-0008-0000-0000-0000E6000000}"/>
                        </a:ext>
                      </a:extLst>
                    </xdr:cNvPr>
                    <xdr:cNvSpPr txBox="1"/>
                  </xdr:nvSpPr>
                  <xdr:spPr>
                    <a:xfrm>
                      <a:off x="4615628" y="16240128"/>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231" name="Rectangle 230">
                      <a:extLst>
                        <a:ext uri="{FF2B5EF4-FFF2-40B4-BE49-F238E27FC236}">
                          <a16:creationId xmlns:a16="http://schemas.microsoft.com/office/drawing/2014/main" id="{00000000-0008-0000-0000-0000E7000000}"/>
                        </a:ext>
                      </a:extLst>
                    </xdr:cNvPr>
                    <xdr:cNvSpPr/>
                  </xdr:nvSpPr>
                  <xdr:spPr>
                    <a:xfrm>
                      <a:off x="4617489" y="17304469"/>
                      <a:ext cx="1552110" cy="2531057"/>
                    </a:xfrm>
                    <a:prstGeom prst="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227" name="Rectangle: Rounded Corners 226">
                    <a:extLst>
                      <a:ext uri="{FF2B5EF4-FFF2-40B4-BE49-F238E27FC236}">
                        <a16:creationId xmlns:a16="http://schemas.microsoft.com/office/drawing/2014/main" id="{00000000-0008-0000-0000-0000E300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217" name="Rectangle: Rounded Corners 216">
                  <a:extLst>
                    <a:ext uri="{FF2B5EF4-FFF2-40B4-BE49-F238E27FC236}">
                      <a16:creationId xmlns:a16="http://schemas.microsoft.com/office/drawing/2014/main" id="{00000000-0008-0000-0000-0000D900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8" name="Rectangle: Rounded Corners 217">
                  <a:extLst>
                    <a:ext uri="{FF2B5EF4-FFF2-40B4-BE49-F238E27FC236}">
                      <a16:creationId xmlns:a16="http://schemas.microsoft.com/office/drawing/2014/main" id="{00000000-0008-0000-0000-0000DA00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219" name="Rectangle: Rounded Corners 218">
                  <a:extLst>
                    <a:ext uri="{FF2B5EF4-FFF2-40B4-BE49-F238E27FC236}">
                      <a16:creationId xmlns:a16="http://schemas.microsoft.com/office/drawing/2014/main" id="{00000000-0008-0000-0000-0000DB000000}"/>
                    </a:ext>
                  </a:extLst>
                </xdr:cNvPr>
                <xdr:cNvSpPr/>
              </xdr:nvSpPr>
              <xdr:spPr>
                <a:xfrm rot="5400000">
                  <a:off x="8870548" y="15982322"/>
                  <a:ext cx="353308" cy="16798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20" name="TextBox 219">
                  <a:extLst>
                    <a:ext uri="{FF2B5EF4-FFF2-40B4-BE49-F238E27FC236}">
                      <a16:creationId xmlns:a16="http://schemas.microsoft.com/office/drawing/2014/main" id="{00000000-0008-0000-0000-0000DC00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221" name="TextBox 220">
                  <a:extLst>
                    <a:ext uri="{FF2B5EF4-FFF2-40B4-BE49-F238E27FC236}">
                      <a16:creationId xmlns:a16="http://schemas.microsoft.com/office/drawing/2014/main" id="{00000000-0008-0000-0000-0000DD000000}"/>
                    </a:ext>
                  </a:extLst>
                </xdr:cNvPr>
                <xdr:cNvSpPr txBox="1"/>
              </xdr:nvSpPr>
              <xdr:spPr>
                <a:xfrm>
                  <a:off x="5296264" y="1863049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222" name="TextBox 221">
                  <a:extLst>
                    <a:ext uri="{FF2B5EF4-FFF2-40B4-BE49-F238E27FC236}">
                      <a16:creationId xmlns:a16="http://schemas.microsoft.com/office/drawing/2014/main" id="{00000000-0008-0000-0000-0000DE000000}"/>
                    </a:ext>
                  </a:extLst>
                </xdr:cNvPr>
                <xdr:cNvSpPr txBox="1"/>
              </xdr:nvSpPr>
              <xdr:spPr>
                <a:xfrm>
                  <a:off x="4912686" y="17471740"/>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223" name="Rectangle: Rounded Corners 222">
                  <a:extLst>
                    <a:ext uri="{FF2B5EF4-FFF2-40B4-BE49-F238E27FC236}">
                      <a16:creationId xmlns:a16="http://schemas.microsoft.com/office/drawing/2014/main" id="{00000000-0008-0000-0000-0000DF00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24" name="Rectangle: Rounded Corners 223">
                  <a:extLst>
                    <a:ext uri="{FF2B5EF4-FFF2-40B4-BE49-F238E27FC236}">
                      <a16:creationId xmlns:a16="http://schemas.microsoft.com/office/drawing/2014/main" id="{00000000-0008-0000-0000-0000E0000000}"/>
                    </a:ext>
                  </a:extLst>
                </xdr:cNvPr>
                <xdr:cNvSpPr/>
              </xdr:nvSpPr>
              <xdr:spPr>
                <a:xfrm rot="5400000">
                  <a:off x="6913357" y="15991553"/>
                  <a:ext cx="324971" cy="16798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207" name="Group 206">
                <a:extLst>
                  <a:ext uri="{FF2B5EF4-FFF2-40B4-BE49-F238E27FC236}">
                    <a16:creationId xmlns:a16="http://schemas.microsoft.com/office/drawing/2014/main" id="{00000000-0008-0000-0000-0000CF000000}"/>
                  </a:ext>
                </a:extLst>
              </xdr:cNvPr>
              <xdr:cNvGrpSpPr/>
            </xdr:nvGrpSpPr>
            <xdr:grpSpPr>
              <a:xfrm>
                <a:off x="483811" y="7299688"/>
                <a:ext cx="5557778" cy="914201"/>
                <a:chOff x="483811" y="7299688"/>
                <a:chExt cx="5557778" cy="914201"/>
              </a:xfrm>
            </xdr:grpSpPr>
            <xdr:sp macro="" textlink="">
              <xdr:nvSpPr>
                <xdr:cNvPr id="208" name="TextBox 207">
                  <a:extLst>
                    <a:ext uri="{FF2B5EF4-FFF2-40B4-BE49-F238E27FC236}">
                      <a16:creationId xmlns:a16="http://schemas.microsoft.com/office/drawing/2014/main" id="{00000000-0008-0000-0000-0000D000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209" name="TextBox 208">
                  <a:extLst>
                    <a:ext uri="{FF2B5EF4-FFF2-40B4-BE49-F238E27FC236}">
                      <a16:creationId xmlns:a16="http://schemas.microsoft.com/office/drawing/2014/main" id="{00000000-0008-0000-0000-0000D100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210" name="TextBox 209">
                  <a:extLst>
                    <a:ext uri="{FF2B5EF4-FFF2-40B4-BE49-F238E27FC236}">
                      <a16:creationId xmlns:a16="http://schemas.microsoft.com/office/drawing/2014/main" id="{00000000-0008-0000-0000-0000D200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211" name="TextBox 210">
                  <a:extLst>
                    <a:ext uri="{FF2B5EF4-FFF2-40B4-BE49-F238E27FC236}">
                      <a16:creationId xmlns:a16="http://schemas.microsoft.com/office/drawing/2014/main" id="{00000000-0008-0000-0000-0000D300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212" name="TextBox 211">
                  <a:extLst>
                    <a:ext uri="{FF2B5EF4-FFF2-40B4-BE49-F238E27FC236}">
                      <a16:creationId xmlns:a16="http://schemas.microsoft.com/office/drawing/2014/main" id="{00000000-0008-0000-0000-0000D400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213" name="TextBox 212">
                  <a:extLst>
                    <a:ext uri="{FF2B5EF4-FFF2-40B4-BE49-F238E27FC236}">
                      <a16:creationId xmlns:a16="http://schemas.microsoft.com/office/drawing/2014/main" id="{00000000-0008-0000-0000-0000D500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214" name="TextBox 213">
                  <a:extLst>
                    <a:ext uri="{FF2B5EF4-FFF2-40B4-BE49-F238E27FC236}">
                      <a16:creationId xmlns:a16="http://schemas.microsoft.com/office/drawing/2014/main" id="{00000000-0008-0000-0000-0000D600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cxnSp macro="">
          <xdr:nvCxnSpPr>
            <xdr:cNvPr id="201" name="Straight Connector 200">
              <a:extLst>
                <a:ext uri="{FF2B5EF4-FFF2-40B4-BE49-F238E27FC236}">
                  <a16:creationId xmlns:a16="http://schemas.microsoft.com/office/drawing/2014/main" id="{00000000-0008-0000-0000-0000C9000000}"/>
                </a:ext>
              </a:extLst>
            </xdr:cNvPr>
            <xdr:cNvCxnSpPr/>
          </xdr:nvCxnSpPr>
          <xdr:spPr>
            <a:xfrm>
              <a:off x="2876881" y="4343963"/>
              <a:ext cx="1786" cy="529662"/>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202" name="Straight Connector 201">
              <a:extLst>
                <a:ext uri="{FF2B5EF4-FFF2-40B4-BE49-F238E27FC236}">
                  <a16:creationId xmlns:a16="http://schemas.microsoft.com/office/drawing/2014/main" id="{00000000-0008-0000-0000-0000CA000000}"/>
                </a:ext>
              </a:extLst>
            </xdr:cNvPr>
            <xdr:cNvCxnSpPr/>
          </xdr:nvCxnSpPr>
          <xdr:spPr>
            <a:xfrm>
              <a:off x="3480220" y="4336312"/>
              <a:ext cx="7651" cy="52330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sp macro="" textlink="">
          <xdr:nvSpPr>
            <xdr:cNvPr id="203" name="TextBox 202">
              <a:extLst>
                <a:ext uri="{FF2B5EF4-FFF2-40B4-BE49-F238E27FC236}">
                  <a16:creationId xmlns:a16="http://schemas.microsoft.com/office/drawing/2014/main" id="{00000000-0008-0000-0000-0000CB000000}"/>
                </a:ext>
              </a:extLst>
            </xdr:cNvPr>
            <xdr:cNvSpPr txBox="1"/>
          </xdr:nvSpPr>
          <xdr:spPr>
            <a:xfrm>
              <a:off x="2281697" y="4308525"/>
              <a:ext cx="606871" cy="168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204" name="TextBox 203">
              <a:extLst>
                <a:ext uri="{FF2B5EF4-FFF2-40B4-BE49-F238E27FC236}">
                  <a16:creationId xmlns:a16="http://schemas.microsoft.com/office/drawing/2014/main" id="{00000000-0008-0000-0000-0000CC000000}"/>
                </a:ext>
              </a:extLst>
            </xdr:cNvPr>
            <xdr:cNvSpPr txBox="1"/>
          </xdr:nvSpPr>
          <xdr:spPr>
            <a:xfrm>
              <a:off x="2904443" y="4314007"/>
              <a:ext cx="516670" cy="157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205" name="TextBox 204">
              <a:extLst>
                <a:ext uri="{FF2B5EF4-FFF2-40B4-BE49-F238E27FC236}">
                  <a16:creationId xmlns:a16="http://schemas.microsoft.com/office/drawing/2014/main" id="{00000000-0008-0000-0000-0000CD000000}"/>
                </a:ext>
              </a:extLst>
            </xdr:cNvPr>
            <xdr:cNvSpPr txBox="1"/>
          </xdr:nvSpPr>
          <xdr:spPr>
            <a:xfrm>
              <a:off x="3300723" y="4282783"/>
              <a:ext cx="664298" cy="2197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pic>
        <xdr:nvPicPr>
          <xdr:cNvPr id="178" name="Picture 177">
            <a:extLst>
              <a:ext uri="{FF2B5EF4-FFF2-40B4-BE49-F238E27FC236}">
                <a16:creationId xmlns:a16="http://schemas.microsoft.com/office/drawing/2014/main" id="{00000000-0008-0000-0000-0000B2000000}"/>
              </a:ext>
            </a:extLst>
          </xdr:cNvPr>
          <xdr:cNvPicPr>
            <a:picLocks noChangeAspect="1"/>
          </xdr:cNvPicPr>
        </xdr:nvPicPr>
        <xdr:blipFill rotWithShape="1">
          <a:blip xmlns:r="http://schemas.openxmlformats.org/officeDocument/2006/relationships" r:embed="rId14"/>
          <a:srcRect b="25540"/>
          <a:stretch/>
        </xdr:blipFill>
        <xdr:spPr>
          <a:xfrm>
            <a:off x="407999" y="4180026"/>
            <a:ext cx="1351833" cy="881719"/>
          </a:xfrm>
          <a:prstGeom prst="rect">
            <a:avLst/>
          </a:prstGeom>
        </xdr:spPr>
      </xdr:pic>
      <xdr:sp macro="" textlink="FinalAnalysis!J34">
        <xdr:nvSpPr>
          <xdr:cNvPr id="179" name="TextBox 178">
            <a:extLst>
              <a:ext uri="{FF2B5EF4-FFF2-40B4-BE49-F238E27FC236}">
                <a16:creationId xmlns:a16="http://schemas.microsoft.com/office/drawing/2014/main" id="{00000000-0008-0000-0000-0000B3000000}"/>
              </a:ext>
            </a:extLst>
          </xdr:cNvPr>
          <xdr:cNvSpPr txBox="1"/>
        </xdr:nvSpPr>
        <xdr:spPr>
          <a:xfrm>
            <a:off x="2468567" y="4543833"/>
            <a:ext cx="326494"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C5CB09E7-EEDE-4F2C-863A-B90B0A53B6E0}" type="TxLink">
              <a:rPr lang="en-US" sz="1600" b="1" i="0" u="none" strike="noStrike">
                <a:solidFill>
                  <a:srgbClr val="002060"/>
                </a:solidFill>
                <a:latin typeface="Comic Sans MS" panose="030F0702030302020204" pitchFamily="66" charset="0"/>
                <a:ea typeface="+mn-ea"/>
                <a:cs typeface="+mn-cs"/>
              </a:rPr>
              <a:pPr marL="0" indent="0" algn="r"/>
              <a:t>16</a:t>
            </a:fld>
            <a:endParaRPr lang="en-IN" sz="1600" b="1" i="0" u="none" strike="noStrike">
              <a:solidFill>
                <a:srgbClr val="002060"/>
              </a:solidFill>
              <a:latin typeface="Comic Sans MS" panose="030F0702030302020204" pitchFamily="66" charset="0"/>
              <a:ea typeface="+mn-ea"/>
              <a:cs typeface="+mn-cs"/>
            </a:endParaRPr>
          </a:p>
        </xdr:txBody>
      </xdr:sp>
      <xdr:sp macro="" textlink="">
        <xdr:nvSpPr>
          <xdr:cNvPr id="180" name="TextBox 179">
            <a:extLst>
              <a:ext uri="{FF2B5EF4-FFF2-40B4-BE49-F238E27FC236}">
                <a16:creationId xmlns:a16="http://schemas.microsoft.com/office/drawing/2014/main" id="{00000000-0008-0000-0000-0000B4000000}"/>
              </a:ext>
            </a:extLst>
          </xdr:cNvPr>
          <xdr:cNvSpPr txBox="1"/>
        </xdr:nvSpPr>
        <xdr:spPr>
          <a:xfrm>
            <a:off x="5633477" y="4622933"/>
            <a:ext cx="693426" cy="296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H34">
        <xdr:nvSpPr>
          <xdr:cNvPr id="181" name="TextBox 180">
            <a:extLst>
              <a:ext uri="{FF2B5EF4-FFF2-40B4-BE49-F238E27FC236}">
                <a16:creationId xmlns:a16="http://schemas.microsoft.com/office/drawing/2014/main" id="{00000000-0008-0000-0000-0000B5000000}"/>
              </a:ext>
            </a:extLst>
          </xdr:cNvPr>
          <xdr:cNvSpPr txBox="1"/>
        </xdr:nvSpPr>
        <xdr:spPr>
          <a:xfrm>
            <a:off x="2955830" y="4547865"/>
            <a:ext cx="330021" cy="2760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EB7D315-664E-4AE6-8AF7-AAB3E6EA2143}" type="TxLink">
              <a:rPr lang="en-US" sz="1200" b="1" i="0" u="none" strike="noStrike">
                <a:solidFill>
                  <a:srgbClr val="002060"/>
                </a:solidFill>
                <a:latin typeface="Comic Sans MS" panose="030F0702030302020204" pitchFamily="66" charset="0"/>
                <a:ea typeface="+mn-ea"/>
                <a:cs typeface="+mn-cs"/>
              </a:rPr>
              <a:pPr marL="0" indent="0" algn="r"/>
              <a:t>8</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34">
        <xdr:nvSpPr>
          <xdr:cNvPr id="182" name="TextBox 181">
            <a:extLst>
              <a:ext uri="{FF2B5EF4-FFF2-40B4-BE49-F238E27FC236}">
                <a16:creationId xmlns:a16="http://schemas.microsoft.com/office/drawing/2014/main" id="{00000000-0008-0000-0000-0000B6000000}"/>
              </a:ext>
            </a:extLst>
          </xdr:cNvPr>
          <xdr:cNvSpPr txBox="1"/>
        </xdr:nvSpPr>
        <xdr:spPr>
          <a:xfrm>
            <a:off x="3543174" y="4553648"/>
            <a:ext cx="315912"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B2E02E97-BE9A-4C9F-93D7-C2C8823ED40B}" type="TxLink">
              <a:rPr lang="en-US" sz="1200" b="1" i="0" u="none" strike="noStrike">
                <a:solidFill>
                  <a:srgbClr val="002060"/>
                </a:solidFill>
                <a:latin typeface="Comic Sans MS" panose="030F0702030302020204" pitchFamily="66" charset="0"/>
                <a:ea typeface="+mn-ea"/>
                <a:cs typeface="+mn-cs"/>
              </a:rPr>
              <a:pPr marL="0" indent="0" algn="r"/>
              <a:t>8</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34">
        <xdr:nvSpPr>
          <xdr:cNvPr id="183" name="TextBox 182">
            <a:extLst>
              <a:ext uri="{FF2B5EF4-FFF2-40B4-BE49-F238E27FC236}">
                <a16:creationId xmlns:a16="http://schemas.microsoft.com/office/drawing/2014/main" id="{00000000-0008-0000-0000-0000B7000000}"/>
              </a:ext>
            </a:extLst>
          </xdr:cNvPr>
          <xdr:cNvSpPr txBox="1"/>
        </xdr:nvSpPr>
        <xdr:spPr>
          <a:xfrm>
            <a:off x="1198972" y="5592995"/>
            <a:ext cx="746914" cy="2441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59527200-CC7F-49E3-9099-F402C71913DD}" type="TxLink">
              <a:rPr lang="en-US" sz="1100" b="1" i="0" u="none" strike="noStrike">
                <a:solidFill>
                  <a:srgbClr val="002060"/>
                </a:solidFill>
                <a:latin typeface="Comic Sans MS" panose="030F0702030302020204" pitchFamily="66" charset="0"/>
                <a:ea typeface="Calibri"/>
                <a:cs typeface="Calibri"/>
              </a:rPr>
              <a:pPr marL="0" indent="0" algn="r"/>
              <a:t>₹2,50,750.00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34">
        <xdr:nvSpPr>
          <xdr:cNvPr id="184" name="TextBox 183">
            <a:extLst>
              <a:ext uri="{FF2B5EF4-FFF2-40B4-BE49-F238E27FC236}">
                <a16:creationId xmlns:a16="http://schemas.microsoft.com/office/drawing/2014/main" id="{00000000-0008-0000-0000-0000B8000000}"/>
              </a:ext>
            </a:extLst>
          </xdr:cNvPr>
          <xdr:cNvSpPr txBox="1"/>
        </xdr:nvSpPr>
        <xdr:spPr>
          <a:xfrm>
            <a:off x="1198972" y="6125154"/>
            <a:ext cx="746914" cy="376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8CC2BFBF-30C3-4F7F-8FCD-F93E81CD73DB}" type="TxLink">
              <a:rPr lang="en-US" sz="1100" b="1" i="0" u="none" strike="noStrike">
                <a:solidFill>
                  <a:srgbClr val="002060"/>
                </a:solidFill>
                <a:latin typeface="Comic Sans MS" panose="030F0702030302020204" pitchFamily="66" charset="0"/>
                <a:ea typeface="Calibri"/>
                <a:cs typeface="Calibri"/>
              </a:rPr>
              <a:pPr marL="0" indent="0" algn="r"/>
              <a:t>₹1,63,500.00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34">
        <xdr:nvSpPr>
          <xdr:cNvPr id="185" name="TextBox 184">
            <a:extLst>
              <a:ext uri="{FF2B5EF4-FFF2-40B4-BE49-F238E27FC236}">
                <a16:creationId xmlns:a16="http://schemas.microsoft.com/office/drawing/2014/main" id="{00000000-0008-0000-0000-0000B9000000}"/>
              </a:ext>
            </a:extLst>
          </xdr:cNvPr>
          <xdr:cNvSpPr txBox="1"/>
        </xdr:nvSpPr>
        <xdr:spPr>
          <a:xfrm>
            <a:off x="1198972" y="6666241"/>
            <a:ext cx="746914" cy="361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506D017-4879-43A7-B6FF-C655975A102A}" type="TxLink">
              <a:rPr lang="en-US" sz="1100" b="1" i="0" u="none" strike="noStrike">
                <a:solidFill>
                  <a:srgbClr val="002060"/>
                </a:solidFill>
                <a:latin typeface="Comic Sans MS" panose="030F0702030302020204" pitchFamily="66" charset="0"/>
                <a:ea typeface="Calibri"/>
                <a:cs typeface="Calibri"/>
              </a:rPr>
              <a:pPr marL="0" indent="0" algn="r"/>
              <a:t>₹87,250.00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C30">
        <xdr:nvSpPr>
          <xdr:cNvPr id="186" name="TextBox 185">
            <a:extLst>
              <a:ext uri="{FF2B5EF4-FFF2-40B4-BE49-F238E27FC236}">
                <a16:creationId xmlns:a16="http://schemas.microsoft.com/office/drawing/2014/main" id="{00000000-0008-0000-0000-0000BA000000}"/>
              </a:ext>
            </a:extLst>
          </xdr:cNvPr>
          <xdr:cNvSpPr txBox="1"/>
        </xdr:nvSpPr>
        <xdr:spPr>
          <a:xfrm>
            <a:off x="4475939" y="4494805"/>
            <a:ext cx="681792" cy="2642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5C65D22B-6860-4159-A5D6-8856AB9FE428}" type="TxLink">
              <a:rPr lang="en-US" sz="1100" b="1" i="1" u="none" strike="noStrike">
                <a:solidFill>
                  <a:srgbClr val="002060"/>
                </a:solidFill>
                <a:latin typeface="Comic Sans MS" panose="030F0702030302020204" pitchFamily="66" charset="0"/>
                <a:ea typeface="+mn-ea"/>
                <a:cs typeface="+mn-cs"/>
              </a:rPr>
              <a:pPr marL="0" indent="0" algn="l"/>
              <a:t>Overall</a:t>
            </a:fld>
            <a:endParaRPr lang="en-IN" sz="1100" b="1" i="1" u="none" strike="noStrike">
              <a:solidFill>
                <a:srgbClr val="002060"/>
              </a:solidFill>
              <a:latin typeface="Comic Sans MS" panose="030F0702030302020204" pitchFamily="66" charset="0"/>
              <a:ea typeface="+mn-ea"/>
              <a:cs typeface="+mn-cs"/>
            </a:endParaRPr>
          </a:p>
        </xdr:txBody>
      </xdr:sp>
      <xdr:sp macro="" textlink="FinalAnalysis!C61">
        <xdr:nvSpPr>
          <xdr:cNvPr id="187" name="TextBox 186">
            <a:extLst>
              <a:ext uri="{FF2B5EF4-FFF2-40B4-BE49-F238E27FC236}">
                <a16:creationId xmlns:a16="http://schemas.microsoft.com/office/drawing/2014/main" id="{00000000-0008-0000-0000-0000BB000000}"/>
              </a:ext>
            </a:extLst>
          </xdr:cNvPr>
          <xdr:cNvSpPr txBox="1"/>
        </xdr:nvSpPr>
        <xdr:spPr>
          <a:xfrm>
            <a:off x="1974908" y="760634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98DD197-08B4-4797-8C9F-1E3D3522B620}" type="TxLink">
              <a:rPr lang="en-US" sz="1100" b="1" i="0" u="none" strike="noStrike">
                <a:solidFill>
                  <a:srgbClr val="002060"/>
                </a:solidFill>
                <a:latin typeface="Comic Sans MS" panose="030F0702030302020204" pitchFamily="66" charset="0"/>
                <a:ea typeface="Calibri"/>
                <a:cs typeface="Calibri"/>
              </a:rPr>
              <a:pPr marL="0" indent="0" algn="r"/>
              <a:t>₹ 80,000.00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1">
        <xdr:nvSpPr>
          <xdr:cNvPr id="188" name="TextBox 187">
            <a:extLst>
              <a:ext uri="{FF2B5EF4-FFF2-40B4-BE49-F238E27FC236}">
                <a16:creationId xmlns:a16="http://schemas.microsoft.com/office/drawing/2014/main" id="{00000000-0008-0000-0000-0000BC000000}"/>
              </a:ext>
            </a:extLst>
          </xdr:cNvPr>
          <xdr:cNvSpPr txBox="1"/>
        </xdr:nvSpPr>
        <xdr:spPr>
          <a:xfrm>
            <a:off x="3107457" y="759158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2357D34-8811-413A-8B7C-BBBC85A7B6D6}" type="TxLink">
              <a:rPr lang="en-US" sz="1100" b="1" i="0" u="none" strike="noStrike">
                <a:solidFill>
                  <a:srgbClr val="002060"/>
                </a:solidFill>
                <a:latin typeface="Comic Sans MS" panose="030F0702030302020204" pitchFamily="66" charset="0"/>
                <a:ea typeface="Calibri"/>
                <a:cs typeface="Calibri"/>
              </a:rPr>
              <a:pPr marL="0" indent="0" algn="r"/>
              <a:t>₹ 34,000.00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1">
        <xdr:nvSpPr>
          <xdr:cNvPr id="189" name="TextBox 188">
            <a:extLst>
              <a:ext uri="{FF2B5EF4-FFF2-40B4-BE49-F238E27FC236}">
                <a16:creationId xmlns:a16="http://schemas.microsoft.com/office/drawing/2014/main" id="{00000000-0008-0000-0000-0000BD000000}"/>
              </a:ext>
            </a:extLst>
          </xdr:cNvPr>
          <xdr:cNvSpPr txBox="1"/>
        </xdr:nvSpPr>
        <xdr:spPr>
          <a:xfrm>
            <a:off x="4305208" y="759407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7596EDB2-CFCB-4CEC-B2D0-64884249E507}" type="TxLink">
              <a:rPr lang="en-US" sz="1100" b="1" i="0" u="none" strike="noStrike">
                <a:solidFill>
                  <a:srgbClr val="002060"/>
                </a:solidFill>
                <a:latin typeface="Comic Sans MS" panose="030F0702030302020204" pitchFamily="66" charset="0"/>
                <a:ea typeface="Calibri"/>
                <a:cs typeface="Calibri"/>
              </a:rPr>
              <a:pPr marL="0" indent="0" algn="r"/>
              <a:t>₹ 10,000.00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1">
        <xdr:nvSpPr>
          <xdr:cNvPr id="190" name="TextBox 189">
            <a:extLst>
              <a:ext uri="{FF2B5EF4-FFF2-40B4-BE49-F238E27FC236}">
                <a16:creationId xmlns:a16="http://schemas.microsoft.com/office/drawing/2014/main" id="{00000000-0008-0000-0000-0000BE000000}"/>
              </a:ext>
            </a:extLst>
          </xdr:cNvPr>
          <xdr:cNvSpPr txBox="1"/>
        </xdr:nvSpPr>
        <xdr:spPr>
          <a:xfrm>
            <a:off x="5139251" y="760502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437205F-F6D9-4A4B-86E0-82E131CAC099}" type="TxLink">
              <a:rPr lang="en-US" sz="1100" b="1" i="0" u="none" strike="noStrike">
                <a:solidFill>
                  <a:srgbClr val="002060"/>
                </a:solidFill>
                <a:latin typeface="Comic Sans MS" panose="030F0702030302020204" pitchFamily="66" charset="0"/>
                <a:ea typeface="Calibri"/>
                <a:cs typeface="Calibri"/>
              </a:rPr>
              <a:pPr marL="0" indent="0" algn="r"/>
              <a:t>₹ 39,500.00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1">
        <xdr:nvSpPr>
          <xdr:cNvPr id="191" name="TextBox 190">
            <a:extLst>
              <a:ext uri="{FF2B5EF4-FFF2-40B4-BE49-F238E27FC236}">
                <a16:creationId xmlns:a16="http://schemas.microsoft.com/office/drawing/2014/main" id="{00000000-0008-0000-0000-0000BF000000}"/>
              </a:ext>
            </a:extLst>
          </xdr:cNvPr>
          <xdr:cNvSpPr txBox="1"/>
        </xdr:nvSpPr>
        <xdr:spPr>
          <a:xfrm>
            <a:off x="1974908" y="7880200"/>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D4DF62B5-F87C-47FA-B05F-23431BA1F105}" type="TxLink">
              <a:rPr lang="en-US" sz="1100" b="1" i="0" u="none" strike="noStrike">
                <a:solidFill>
                  <a:srgbClr val="002060"/>
                </a:solidFill>
                <a:latin typeface="Comic Sans MS" panose="030F0702030302020204" pitchFamily="66" charset="0"/>
                <a:ea typeface="Calibri"/>
                <a:cs typeface="Calibri"/>
              </a:rPr>
              <a:pPr marL="0" indent="0" algn="r"/>
              <a:t>₹ 11,000.00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1">
        <xdr:nvSpPr>
          <xdr:cNvPr id="192" name="TextBox 191">
            <a:extLst>
              <a:ext uri="{FF2B5EF4-FFF2-40B4-BE49-F238E27FC236}">
                <a16:creationId xmlns:a16="http://schemas.microsoft.com/office/drawing/2014/main" id="{00000000-0008-0000-0000-0000C0000000}"/>
              </a:ext>
            </a:extLst>
          </xdr:cNvPr>
          <xdr:cNvSpPr txBox="1"/>
        </xdr:nvSpPr>
        <xdr:spPr>
          <a:xfrm>
            <a:off x="3097377" y="786543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F567A55-1C24-4CE2-8B54-238A106A6243}" type="TxLink">
              <a:rPr lang="en-US" sz="1100" b="1" i="0" u="none" strike="noStrike">
                <a:solidFill>
                  <a:srgbClr val="002060"/>
                </a:solidFill>
                <a:latin typeface="Comic Sans MS" panose="030F0702030302020204" pitchFamily="66" charset="0"/>
                <a:ea typeface="Calibri"/>
                <a:cs typeface="Calibri"/>
              </a:rPr>
              <a:pPr marL="0" indent="0" algn="r"/>
              <a:t>-₹ 4,000.00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1">
        <xdr:nvSpPr>
          <xdr:cNvPr id="193" name="TextBox 192">
            <a:extLst>
              <a:ext uri="{FF2B5EF4-FFF2-40B4-BE49-F238E27FC236}">
                <a16:creationId xmlns:a16="http://schemas.microsoft.com/office/drawing/2014/main" id="{00000000-0008-0000-0000-0000C1000000}"/>
              </a:ext>
            </a:extLst>
          </xdr:cNvPr>
          <xdr:cNvSpPr txBox="1"/>
        </xdr:nvSpPr>
        <xdr:spPr>
          <a:xfrm>
            <a:off x="4305208" y="786792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7E3A8131-57C0-4E52-8BFE-58B1615B0FB5}" type="TxLink">
              <a:rPr lang="en-US" sz="11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1">
        <xdr:nvSpPr>
          <xdr:cNvPr id="194" name="TextBox 193">
            <a:extLst>
              <a:ext uri="{FF2B5EF4-FFF2-40B4-BE49-F238E27FC236}">
                <a16:creationId xmlns:a16="http://schemas.microsoft.com/office/drawing/2014/main" id="{00000000-0008-0000-0000-0000C2000000}"/>
              </a:ext>
            </a:extLst>
          </xdr:cNvPr>
          <xdr:cNvSpPr txBox="1"/>
        </xdr:nvSpPr>
        <xdr:spPr>
          <a:xfrm>
            <a:off x="5129171" y="787887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836C0E19-B5B7-4CAA-82D3-F1196ED9952B}" type="TxLink">
              <a:rPr lang="en-US" sz="1100" b="1" i="0" u="none" strike="noStrike">
                <a:solidFill>
                  <a:srgbClr val="002060"/>
                </a:solidFill>
                <a:latin typeface="Comic Sans MS" panose="030F0702030302020204" pitchFamily="66" charset="0"/>
                <a:ea typeface="Calibri"/>
                <a:cs typeface="Calibri"/>
              </a:rPr>
              <a:pPr marL="0" indent="0" algn="r"/>
              <a:t>₹ 1,13,500.00</a:t>
            </a:fld>
            <a:endParaRPr lang="en-US" sz="1200" b="1" i="0" u="none" strike="noStrike">
              <a:solidFill>
                <a:srgbClr val="002060"/>
              </a:solidFill>
              <a:latin typeface="Comic Sans MS" panose="030F0702030302020204" pitchFamily="66" charset="0"/>
              <a:ea typeface="+mn-ea"/>
              <a:cs typeface="+mn-cs"/>
            </a:endParaRPr>
          </a:p>
        </xdr:txBody>
      </xdr:sp>
      <xdr:grpSp>
        <xdr:nvGrpSpPr>
          <xdr:cNvPr id="195" name="Group 194">
            <a:extLst>
              <a:ext uri="{FF2B5EF4-FFF2-40B4-BE49-F238E27FC236}">
                <a16:creationId xmlns:a16="http://schemas.microsoft.com/office/drawing/2014/main" id="{00000000-0008-0000-0000-0000C3000000}"/>
              </a:ext>
            </a:extLst>
          </xdr:cNvPr>
          <xdr:cNvGrpSpPr/>
        </xdr:nvGrpSpPr>
        <xdr:grpSpPr>
          <a:xfrm>
            <a:off x="1890451" y="7190687"/>
            <a:ext cx="3507281" cy="1213755"/>
            <a:chOff x="1893241" y="7278981"/>
            <a:chExt cx="3509076" cy="1223521"/>
          </a:xfrm>
        </xdr:grpSpPr>
        <xdr:cxnSp macro="">
          <xdr:nvCxnSpPr>
            <xdr:cNvPr id="196" name="Straight Connector 195">
              <a:extLst>
                <a:ext uri="{FF2B5EF4-FFF2-40B4-BE49-F238E27FC236}">
                  <a16:creationId xmlns:a16="http://schemas.microsoft.com/office/drawing/2014/main" id="{00000000-0008-0000-0000-0000C4000000}"/>
                </a:ext>
              </a:extLst>
            </xdr:cNvPr>
            <xdr:cNvCxnSpPr/>
          </xdr:nvCxnSpPr>
          <xdr:spPr>
            <a:xfrm>
              <a:off x="3061913" y="7349537"/>
              <a:ext cx="4208" cy="112944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197" name="Straight Connector 196">
              <a:extLst>
                <a:ext uri="{FF2B5EF4-FFF2-40B4-BE49-F238E27FC236}">
                  <a16:creationId xmlns:a16="http://schemas.microsoft.com/office/drawing/2014/main" id="{00000000-0008-0000-0000-0000C5000000}"/>
                </a:ext>
              </a:extLst>
            </xdr:cNvPr>
            <xdr:cNvCxnSpPr/>
          </xdr:nvCxnSpPr>
          <xdr:spPr>
            <a:xfrm>
              <a:off x="4230586" y="7396574"/>
              <a:ext cx="2448" cy="1093728"/>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198" name="Straight Connector 197">
              <a:extLst>
                <a:ext uri="{FF2B5EF4-FFF2-40B4-BE49-F238E27FC236}">
                  <a16:creationId xmlns:a16="http://schemas.microsoft.com/office/drawing/2014/main" id="{00000000-0008-0000-0000-0000C6000000}"/>
                </a:ext>
              </a:extLst>
            </xdr:cNvPr>
            <xdr:cNvCxnSpPr/>
          </xdr:nvCxnSpPr>
          <xdr:spPr>
            <a:xfrm>
              <a:off x="5397500" y="7361296"/>
              <a:ext cx="4817" cy="109528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199" name="Straight Connector 198">
              <a:extLst>
                <a:ext uri="{FF2B5EF4-FFF2-40B4-BE49-F238E27FC236}">
                  <a16:creationId xmlns:a16="http://schemas.microsoft.com/office/drawing/2014/main" id="{00000000-0008-0000-0000-0000C7000000}"/>
                </a:ext>
              </a:extLst>
            </xdr:cNvPr>
            <xdr:cNvCxnSpPr/>
          </xdr:nvCxnSpPr>
          <xdr:spPr>
            <a:xfrm>
              <a:off x="1893241" y="7278981"/>
              <a:ext cx="4207" cy="122352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271506</xdr:colOff>
      <xdr:row>50</xdr:row>
      <xdr:rowOff>149991</xdr:rowOff>
    </xdr:from>
    <xdr:to>
      <xdr:col>9</xdr:col>
      <xdr:colOff>18734</xdr:colOff>
      <xdr:row>74</xdr:row>
      <xdr:rowOff>127599</xdr:rowOff>
    </xdr:to>
    <xdr:grpSp>
      <xdr:nvGrpSpPr>
        <xdr:cNvPr id="232" name="Group 231">
          <a:extLst>
            <a:ext uri="{FF2B5EF4-FFF2-40B4-BE49-F238E27FC236}">
              <a16:creationId xmlns:a16="http://schemas.microsoft.com/office/drawing/2014/main" id="{00000000-0008-0000-0000-0000E8000000}"/>
            </a:ext>
          </a:extLst>
        </xdr:cNvPr>
        <xdr:cNvGrpSpPr/>
      </xdr:nvGrpSpPr>
      <xdr:grpSpPr>
        <a:xfrm>
          <a:off x="271506" y="9456025"/>
          <a:ext cx="6064383" cy="4444505"/>
          <a:chOff x="13563778" y="4110668"/>
          <a:chExt cx="6138980" cy="4314982"/>
        </a:xfrm>
      </xdr:grpSpPr>
      <xdr:grpSp>
        <xdr:nvGrpSpPr>
          <xdr:cNvPr id="233" name="Group 232">
            <a:extLst>
              <a:ext uri="{FF2B5EF4-FFF2-40B4-BE49-F238E27FC236}">
                <a16:creationId xmlns:a16="http://schemas.microsoft.com/office/drawing/2014/main" id="{00000000-0008-0000-0000-0000E9000000}"/>
              </a:ext>
            </a:extLst>
          </xdr:cNvPr>
          <xdr:cNvGrpSpPr/>
        </xdr:nvGrpSpPr>
        <xdr:grpSpPr>
          <a:xfrm>
            <a:off x="13563778" y="4110668"/>
            <a:ext cx="6138980" cy="4314982"/>
            <a:chOff x="344766" y="4265801"/>
            <a:chExt cx="6055631" cy="4281500"/>
          </a:xfrm>
        </xdr:grpSpPr>
        <xdr:grpSp>
          <xdr:nvGrpSpPr>
            <xdr:cNvPr id="264" name="Group 263">
              <a:extLst>
                <a:ext uri="{FF2B5EF4-FFF2-40B4-BE49-F238E27FC236}">
                  <a16:creationId xmlns:a16="http://schemas.microsoft.com/office/drawing/2014/main" id="{00000000-0008-0000-0000-000008010000}"/>
                </a:ext>
              </a:extLst>
            </xdr:cNvPr>
            <xdr:cNvGrpSpPr>
              <a:grpSpLocks/>
            </xdr:cNvGrpSpPr>
          </xdr:nvGrpSpPr>
          <xdr:grpSpPr>
            <a:xfrm>
              <a:off x="344766" y="4265801"/>
              <a:ext cx="6055631" cy="4281500"/>
              <a:chOff x="4615628" y="16240125"/>
              <a:chExt cx="5388081" cy="4325195"/>
            </a:xfrm>
          </xdr:grpSpPr>
          <xdr:sp macro="" textlink="">
            <xdr:nvSpPr>
              <xdr:cNvPr id="273" name="Rectangle 272">
                <a:extLst>
                  <a:ext uri="{FF2B5EF4-FFF2-40B4-BE49-F238E27FC236}">
                    <a16:creationId xmlns:a16="http://schemas.microsoft.com/office/drawing/2014/main" id="{00000000-0008-0000-0000-00001101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74" name="Group 273">
                <a:extLst>
                  <a:ext uri="{FF2B5EF4-FFF2-40B4-BE49-F238E27FC236}">
                    <a16:creationId xmlns:a16="http://schemas.microsoft.com/office/drawing/2014/main" id="{00000000-0008-0000-0000-000012010000}"/>
                  </a:ext>
                </a:extLst>
              </xdr:cNvPr>
              <xdr:cNvGrpSpPr/>
            </xdr:nvGrpSpPr>
            <xdr:grpSpPr>
              <a:xfrm>
                <a:off x="4615628" y="16240125"/>
                <a:ext cx="5388081" cy="4325195"/>
                <a:chOff x="4615628" y="16240125"/>
                <a:chExt cx="5388081" cy="4325195"/>
              </a:xfrm>
            </xdr:grpSpPr>
            <xdr:sp macro="" textlink="">
              <xdr:nvSpPr>
                <xdr:cNvPr id="281" name="Rectangle: Rounded Corners 280">
                  <a:extLst>
                    <a:ext uri="{FF2B5EF4-FFF2-40B4-BE49-F238E27FC236}">
                      <a16:creationId xmlns:a16="http://schemas.microsoft.com/office/drawing/2014/main" id="{00000000-0008-0000-0000-00001901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82" name="Group 281">
                  <a:extLst>
                    <a:ext uri="{FF2B5EF4-FFF2-40B4-BE49-F238E27FC236}">
                      <a16:creationId xmlns:a16="http://schemas.microsoft.com/office/drawing/2014/main" id="{00000000-0008-0000-0000-00001A010000}"/>
                    </a:ext>
                  </a:extLst>
                </xdr:cNvPr>
                <xdr:cNvGrpSpPr/>
              </xdr:nvGrpSpPr>
              <xdr:grpSpPr>
                <a:xfrm>
                  <a:off x="4615628" y="16240125"/>
                  <a:ext cx="5388081" cy="4325195"/>
                  <a:chOff x="4615628" y="16240125"/>
                  <a:chExt cx="5388081" cy="4325195"/>
                </a:xfrm>
              </xdr:grpSpPr>
              <xdr:sp macro="" textlink="">
                <xdr:nvSpPr>
                  <xdr:cNvPr id="284" name="TextBox 283">
                    <a:extLst>
                      <a:ext uri="{FF2B5EF4-FFF2-40B4-BE49-F238E27FC236}">
                        <a16:creationId xmlns:a16="http://schemas.microsoft.com/office/drawing/2014/main" id="{00000000-0008-0000-0000-00001C010000}"/>
                      </a:ext>
                    </a:extLst>
                  </xdr:cNvPr>
                  <xdr:cNvSpPr txBox="1"/>
                </xdr:nvSpPr>
                <xdr:spPr>
                  <a:xfrm rot="10800000">
                    <a:off x="4616920" y="19139810"/>
                    <a:ext cx="5386535" cy="142551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285" name="TextBox 284">
                    <a:extLst>
                      <a:ext uri="{FF2B5EF4-FFF2-40B4-BE49-F238E27FC236}">
                        <a16:creationId xmlns:a16="http://schemas.microsoft.com/office/drawing/2014/main" id="{00000000-0008-0000-0000-00001D010000}"/>
                      </a:ext>
                    </a:extLst>
                  </xdr:cNvPr>
                  <xdr:cNvSpPr txBox="1"/>
                </xdr:nvSpPr>
                <xdr:spPr>
                  <a:xfrm rot="5400000">
                    <a:off x="8531448" y="18482441"/>
                    <a:ext cx="2853472" cy="87824"/>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286" name="TextBox 285">
                    <a:extLst>
                      <a:ext uri="{FF2B5EF4-FFF2-40B4-BE49-F238E27FC236}">
                        <a16:creationId xmlns:a16="http://schemas.microsoft.com/office/drawing/2014/main" id="{00000000-0008-0000-0000-00001E010000}"/>
                      </a:ext>
                    </a:extLst>
                  </xdr:cNvPr>
                  <xdr:cNvSpPr txBox="1"/>
                </xdr:nvSpPr>
                <xdr:spPr>
                  <a:xfrm>
                    <a:off x="4615628" y="16240125"/>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287" name="Rectangle 286">
                    <a:extLst>
                      <a:ext uri="{FF2B5EF4-FFF2-40B4-BE49-F238E27FC236}">
                        <a16:creationId xmlns:a16="http://schemas.microsoft.com/office/drawing/2014/main" id="{00000000-0008-0000-0000-00001F010000}"/>
                      </a:ext>
                    </a:extLst>
                  </xdr:cNvPr>
                  <xdr:cNvSpPr/>
                </xdr:nvSpPr>
                <xdr:spPr>
                  <a:xfrm>
                    <a:off x="4617489" y="17304469"/>
                    <a:ext cx="1552110" cy="2531057"/>
                  </a:xfrm>
                  <a:prstGeom prst="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283" name="Rectangle: Rounded Corners 282">
                  <a:extLst>
                    <a:ext uri="{FF2B5EF4-FFF2-40B4-BE49-F238E27FC236}">
                      <a16:creationId xmlns:a16="http://schemas.microsoft.com/office/drawing/2014/main" id="{00000000-0008-0000-0000-00001B01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275" name="Rectangle: Rounded Corners 274">
                <a:extLst>
                  <a:ext uri="{FF2B5EF4-FFF2-40B4-BE49-F238E27FC236}">
                    <a16:creationId xmlns:a16="http://schemas.microsoft.com/office/drawing/2014/main" id="{00000000-0008-0000-0000-00001301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76" name="Rectangle: Rounded Corners 275">
                <a:extLst>
                  <a:ext uri="{FF2B5EF4-FFF2-40B4-BE49-F238E27FC236}">
                    <a16:creationId xmlns:a16="http://schemas.microsoft.com/office/drawing/2014/main" id="{00000000-0008-0000-0000-00001401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277" name="TextBox 276">
                <a:extLst>
                  <a:ext uri="{FF2B5EF4-FFF2-40B4-BE49-F238E27FC236}">
                    <a16:creationId xmlns:a16="http://schemas.microsoft.com/office/drawing/2014/main" id="{00000000-0008-0000-0000-000015010000}"/>
                  </a:ext>
                </a:extLst>
              </xdr:cNvPr>
              <xdr:cNvSpPr txBox="1"/>
            </xdr:nvSpPr>
            <xdr:spPr>
              <a:xfrm>
                <a:off x="4954120"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278" name="TextBox 277">
                <a:extLst>
                  <a:ext uri="{FF2B5EF4-FFF2-40B4-BE49-F238E27FC236}">
                    <a16:creationId xmlns:a16="http://schemas.microsoft.com/office/drawing/2014/main" id="{00000000-0008-0000-0000-000016010000}"/>
                  </a:ext>
                </a:extLst>
              </xdr:cNvPr>
              <xdr:cNvSpPr txBox="1"/>
            </xdr:nvSpPr>
            <xdr:spPr>
              <a:xfrm>
                <a:off x="5378802" y="18612186"/>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279" name="TextBox 278">
                <a:extLst>
                  <a:ext uri="{FF2B5EF4-FFF2-40B4-BE49-F238E27FC236}">
                    <a16:creationId xmlns:a16="http://schemas.microsoft.com/office/drawing/2014/main" id="{00000000-0008-0000-0000-000017010000}"/>
                  </a:ext>
                </a:extLst>
              </xdr:cNvPr>
              <xdr:cNvSpPr txBox="1"/>
            </xdr:nvSpPr>
            <xdr:spPr>
              <a:xfrm>
                <a:off x="4902896" y="17483241"/>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280" name="Rectangle: Rounded Corners 279">
                <a:extLst>
                  <a:ext uri="{FF2B5EF4-FFF2-40B4-BE49-F238E27FC236}">
                    <a16:creationId xmlns:a16="http://schemas.microsoft.com/office/drawing/2014/main" id="{00000000-0008-0000-0000-00001801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265" name="Group 264">
              <a:extLst>
                <a:ext uri="{FF2B5EF4-FFF2-40B4-BE49-F238E27FC236}">
                  <a16:creationId xmlns:a16="http://schemas.microsoft.com/office/drawing/2014/main" id="{00000000-0008-0000-0000-000009010000}"/>
                </a:ext>
              </a:extLst>
            </xdr:cNvPr>
            <xdr:cNvGrpSpPr/>
          </xdr:nvGrpSpPr>
          <xdr:grpSpPr>
            <a:xfrm>
              <a:off x="483811" y="7299688"/>
              <a:ext cx="5557778" cy="914201"/>
              <a:chOff x="483811" y="7299688"/>
              <a:chExt cx="5557778" cy="914201"/>
            </a:xfrm>
          </xdr:grpSpPr>
          <xdr:sp macro="" textlink="">
            <xdr:nvSpPr>
              <xdr:cNvPr id="266" name="TextBox 265">
                <a:extLst>
                  <a:ext uri="{FF2B5EF4-FFF2-40B4-BE49-F238E27FC236}">
                    <a16:creationId xmlns:a16="http://schemas.microsoft.com/office/drawing/2014/main" id="{00000000-0008-0000-0000-00000A01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267" name="TextBox 266">
                <a:extLst>
                  <a:ext uri="{FF2B5EF4-FFF2-40B4-BE49-F238E27FC236}">
                    <a16:creationId xmlns:a16="http://schemas.microsoft.com/office/drawing/2014/main" id="{00000000-0008-0000-0000-00000B01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268" name="TextBox 267">
                <a:extLst>
                  <a:ext uri="{FF2B5EF4-FFF2-40B4-BE49-F238E27FC236}">
                    <a16:creationId xmlns:a16="http://schemas.microsoft.com/office/drawing/2014/main" id="{00000000-0008-0000-0000-00000C01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269" name="TextBox 268">
                <a:extLst>
                  <a:ext uri="{FF2B5EF4-FFF2-40B4-BE49-F238E27FC236}">
                    <a16:creationId xmlns:a16="http://schemas.microsoft.com/office/drawing/2014/main" id="{00000000-0008-0000-0000-00000D01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270" name="TextBox 269">
                <a:extLst>
                  <a:ext uri="{FF2B5EF4-FFF2-40B4-BE49-F238E27FC236}">
                    <a16:creationId xmlns:a16="http://schemas.microsoft.com/office/drawing/2014/main" id="{00000000-0008-0000-0000-00000E01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271" name="TextBox 270">
                <a:extLst>
                  <a:ext uri="{FF2B5EF4-FFF2-40B4-BE49-F238E27FC236}">
                    <a16:creationId xmlns:a16="http://schemas.microsoft.com/office/drawing/2014/main" id="{00000000-0008-0000-0000-00000F01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272" name="TextBox 271">
                <a:extLst>
                  <a:ext uri="{FF2B5EF4-FFF2-40B4-BE49-F238E27FC236}">
                    <a16:creationId xmlns:a16="http://schemas.microsoft.com/office/drawing/2014/main" id="{00000000-0008-0000-0000-00001001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sp macro="" textlink="">
        <xdr:nvSpPr>
          <xdr:cNvPr id="234" name="TextBox 233">
            <a:extLst>
              <a:ext uri="{FF2B5EF4-FFF2-40B4-BE49-F238E27FC236}">
                <a16:creationId xmlns:a16="http://schemas.microsoft.com/office/drawing/2014/main" id="{00000000-0008-0000-0000-0000EA000000}"/>
              </a:ext>
            </a:extLst>
          </xdr:cNvPr>
          <xdr:cNvSpPr txBox="1"/>
        </xdr:nvSpPr>
        <xdr:spPr>
          <a:xfrm>
            <a:off x="13586073" y="4344366"/>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I</a:t>
            </a:r>
            <a:endParaRPr lang="en-IN" sz="3100" b="1" spc="200" baseline="0">
              <a:solidFill>
                <a:schemeClr val="bg1"/>
              </a:solidFill>
              <a:latin typeface="Calisto MT" panose="02040603050505030304" pitchFamily="18" charset="0"/>
            </a:endParaRPr>
          </a:p>
        </xdr:txBody>
      </xdr:sp>
      <xdr:sp macro="" textlink="FinalAnalysis!C63">
        <xdr:nvSpPr>
          <xdr:cNvPr id="235" name="TextBox 234">
            <a:extLst>
              <a:ext uri="{FF2B5EF4-FFF2-40B4-BE49-F238E27FC236}">
                <a16:creationId xmlns:a16="http://schemas.microsoft.com/office/drawing/2014/main" id="{00000000-0008-0000-0000-0000EB000000}"/>
              </a:ext>
            </a:extLst>
          </xdr:cNvPr>
          <xdr:cNvSpPr txBox="1"/>
        </xdr:nvSpPr>
        <xdr:spPr>
          <a:xfrm>
            <a:off x="15197305" y="754797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48CD9497-C7F6-450B-B08D-490A8E445BEF}" type="TxLink">
              <a:rPr lang="en-US" sz="1200" b="1" i="0" u="none" strike="noStrike">
                <a:solidFill>
                  <a:srgbClr val="002060"/>
                </a:solidFill>
                <a:latin typeface="Comic Sans MS" panose="030F0702030302020204" pitchFamily="66" charset="0"/>
                <a:ea typeface="Calibri"/>
                <a:cs typeface="Calibri"/>
              </a:rPr>
              <a:pPr marL="0" indent="0" algn="r"/>
              <a:t>₹ 1,15,500.00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3">
        <xdr:nvSpPr>
          <xdr:cNvPr id="236" name="TextBox 235">
            <a:extLst>
              <a:ext uri="{FF2B5EF4-FFF2-40B4-BE49-F238E27FC236}">
                <a16:creationId xmlns:a16="http://schemas.microsoft.com/office/drawing/2014/main" id="{00000000-0008-0000-0000-0000EC000000}"/>
              </a:ext>
            </a:extLst>
          </xdr:cNvPr>
          <xdr:cNvSpPr txBox="1"/>
        </xdr:nvSpPr>
        <xdr:spPr>
          <a:xfrm>
            <a:off x="16217028" y="754497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F5B520E-2D5F-456C-AF10-101AB267E8C5}" type="TxLink">
              <a:rPr lang="en-US" sz="1200" b="1" i="0" u="none" strike="noStrike">
                <a:solidFill>
                  <a:srgbClr val="002060"/>
                </a:solidFill>
                <a:latin typeface="Comic Sans MS" panose="030F0702030302020204" pitchFamily="66" charset="0"/>
                <a:ea typeface="Calibri"/>
                <a:cs typeface="Calibri"/>
              </a:rPr>
              <a:pPr marL="0" indent="0" algn="r"/>
              <a:t>₹ 64,550.00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3">
        <xdr:nvSpPr>
          <xdr:cNvPr id="237" name="TextBox 236">
            <a:extLst>
              <a:ext uri="{FF2B5EF4-FFF2-40B4-BE49-F238E27FC236}">
                <a16:creationId xmlns:a16="http://schemas.microsoft.com/office/drawing/2014/main" id="{00000000-0008-0000-0000-0000ED000000}"/>
              </a:ext>
            </a:extLst>
          </xdr:cNvPr>
          <xdr:cNvSpPr txBox="1"/>
        </xdr:nvSpPr>
        <xdr:spPr>
          <a:xfrm>
            <a:off x="17481193" y="757017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230EB91-6689-4FED-803B-D85D0121EE6F}" type="TxLink">
              <a:rPr lang="en-US" sz="1200" b="1" i="0" u="none" strike="noStrike">
                <a:solidFill>
                  <a:srgbClr val="002060"/>
                </a:solidFill>
                <a:latin typeface="Comic Sans MS" panose="030F0702030302020204" pitchFamily="66" charset="0"/>
                <a:ea typeface="Calibri"/>
                <a:cs typeface="Calibri"/>
              </a:rPr>
              <a:pPr marL="0" indent="0" algn="r"/>
              <a:t>₹ 10,000.00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3">
        <xdr:nvSpPr>
          <xdr:cNvPr id="238" name="TextBox 237">
            <a:extLst>
              <a:ext uri="{FF2B5EF4-FFF2-40B4-BE49-F238E27FC236}">
                <a16:creationId xmlns:a16="http://schemas.microsoft.com/office/drawing/2014/main" id="{00000000-0008-0000-0000-0000EE000000}"/>
              </a:ext>
            </a:extLst>
          </xdr:cNvPr>
          <xdr:cNvSpPr txBox="1"/>
        </xdr:nvSpPr>
        <xdr:spPr>
          <a:xfrm>
            <a:off x="18372260" y="757017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05F5812-F5FD-4E0C-87A2-A15918A675F5}" type="TxLink">
              <a:rPr lang="en-US" sz="1200" b="1" i="0" u="none" strike="noStrike">
                <a:solidFill>
                  <a:srgbClr val="002060"/>
                </a:solidFill>
                <a:latin typeface="Comic Sans MS" panose="030F0702030302020204" pitchFamily="66" charset="0"/>
                <a:ea typeface="Calibri"/>
                <a:cs typeface="Calibri"/>
              </a:rPr>
              <a:pPr marL="0" indent="0" algn="r"/>
              <a:t>₹ 26,500.00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3">
        <xdr:nvSpPr>
          <xdr:cNvPr id="239" name="TextBox 238">
            <a:extLst>
              <a:ext uri="{FF2B5EF4-FFF2-40B4-BE49-F238E27FC236}">
                <a16:creationId xmlns:a16="http://schemas.microsoft.com/office/drawing/2014/main" id="{00000000-0008-0000-0000-0000EF000000}"/>
              </a:ext>
            </a:extLst>
          </xdr:cNvPr>
          <xdr:cNvSpPr txBox="1"/>
        </xdr:nvSpPr>
        <xdr:spPr>
          <a:xfrm>
            <a:off x="15187225" y="782183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D9E4F22D-13A1-4F07-B42F-E00EFC3DB765}" type="TxLink">
              <a:rPr lang="en-US" sz="1200" b="1" i="0" u="none" strike="noStrike">
                <a:solidFill>
                  <a:srgbClr val="002060"/>
                </a:solidFill>
                <a:latin typeface="Comic Sans MS" panose="030F0702030302020204" pitchFamily="66" charset="0"/>
                <a:ea typeface="Calibri"/>
                <a:cs typeface="Calibri"/>
              </a:rPr>
              <a:pPr marL="0" indent="0" algn="r"/>
              <a:t>₹ 17,500.00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3">
        <xdr:nvSpPr>
          <xdr:cNvPr id="240" name="TextBox 239">
            <a:extLst>
              <a:ext uri="{FF2B5EF4-FFF2-40B4-BE49-F238E27FC236}">
                <a16:creationId xmlns:a16="http://schemas.microsoft.com/office/drawing/2014/main" id="{00000000-0008-0000-0000-0000F0000000}"/>
              </a:ext>
            </a:extLst>
          </xdr:cNvPr>
          <xdr:cNvSpPr txBox="1"/>
        </xdr:nvSpPr>
        <xdr:spPr>
          <a:xfrm>
            <a:off x="16206948" y="781882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2E892703-8E56-45D3-9F14-98B9FE9341F1}" type="TxLink">
              <a:rPr lang="en-US" sz="1200" b="1" i="0" u="none" strike="noStrike">
                <a:solidFill>
                  <a:srgbClr val="002060"/>
                </a:solidFill>
                <a:latin typeface="Comic Sans MS" panose="030F0702030302020204" pitchFamily="66" charset="0"/>
                <a:ea typeface="Calibri"/>
                <a:cs typeface="Calibri"/>
              </a:rPr>
              <a:pPr marL="0" indent="0" algn="r"/>
              <a:t>-₹ 14,550.00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3">
        <xdr:nvSpPr>
          <xdr:cNvPr id="241" name="TextBox 240">
            <a:extLst>
              <a:ext uri="{FF2B5EF4-FFF2-40B4-BE49-F238E27FC236}">
                <a16:creationId xmlns:a16="http://schemas.microsoft.com/office/drawing/2014/main" id="{00000000-0008-0000-0000-0000F1000000}"/>
              </a:ext>
            </a:extLst>
          </xdr:cNvPr>
          <xdr:cNvSpPr txBox="1"/>
        </xdr:nvSpPr>
        <xdr:spPr>
          <a:xfrm>
            <a:off x="17481193" y="784402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6506021-9B61-4D5E-B0C3-29606FD096D7}"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3">
        <xdr:nvSpPr>
          <xdr:cNvPr id="242" name="TextBox 241">
            <a:extLst>
              <a:ext uri="{FF2B5EF4-FFF2-40B4-BE49-F238E27FC236}">
                <a16:creationId xmlns:a16="http://schemas.microsoft.com/office/drawing/2014/main" id="{00000000-0008-0000-0000-0000F2000000}"/>
              </a:ext>
            </a:extLst>
          </xdr:cNvPr>
          <xdr:cNvSpPr txBox="1"/>
        </xdr:nvSpPr>
        <xdr:spPr>
          <a:xfrm>
            <a:off x="18362180" y="784402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5C646DF-D482-46C2-A904-560432CF04D8}" type="TxLink">
              <a:rPr lang="en-US" sz="1200" b="1" i="0" u="none" strike="noStrike">
                <a:solidFill>
                  <a:srgbClr val="002060"/>
                </a:solidFill>
                <a:latin typeface="Comic Sans MS" panose="030F0702030302020204" pitchFamily="66" charset="0"/>
                <a:ea typeface="Calibri"/>
                <a:cs typeface="Calibri"/>
              </a:rPr>
              <a:pPr marL="0" indent="0" algn="r"/>
              <a:t>₹ 51,500.00</a:t>
            </a:fld>
            <a:endParaRPr lang="en-US" sz="1200" b="1" i="0" u="none" strike="noStrike">
              <a:solidFill>
                <a:srgbClr val="002060"/>
              </a:solidFill>
              <a:latin typeface="Comic Sans MS" panose="030F0702030302020204" pitchFamily="66" charset="0"/>
              <a:ea typeface="+mn-ea"/>
              <a:cs typeface="+mn-cs"/>
            </a:endParaRPr>
          </a:p>
        </xdr:txBody>
      </xdr:sp>
      <xdr:grpSp>
        <xdr:nvGrpSpPr>
          <xdr:cNvPr id="243" name="Group 242">
            <a:extLst>
              <a:ext uri="{FF2B5EF4-FFF2-40B4-BE49-F238E27FC236}">
                <a16:creationId xmlns:a16="http://schemas.microsoft.com/office/drawing/2014/main" id="{00000000-0008-0000-0000-0000F3000000}"/>
              </a:ext>
            </a:extLst>
          </xdr:cNvPr>
          <xdr:cNvGrpSpPr/>
        </xdr:nvGrpSpPr>
        <xdr:grpSpPr>
          <a:xfrm>
            <a:off x="15427278" y="4345569"/>
            <a:ext cx="4124756" cy="606715"/>
            <a:chOff x="9772834" y="16020484"/>
            <a:chExt cx="4173657" cy="587062"/>
          </a:xfrm>
        </xdr:grpSpPr>
        <xdr:sp macro="" textlink="">
          <xdr:nvSpPr>
            <xdr:cNvPr id="257" name="Rectangle: Rounded Corners 256">
              <a:extLst>
                <a:ext uri="{FF2B5EF4-FFF2-40B4-BE49-F238E27FC236}">
                  <a16:creationId xmlns:a16="http://schemas.microsoft.com/office/drawing/2014/main" id="{00000000-0008-0000-0000-00000101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8" name="Rectangle: Rounded Corners 257">
              <a:extLst>
                <a:ext uri="{FF2B5EF4-FFF2-40B4-BE49-F238E27FC236}">
                  <a16:creationId xmlns:a16="http://schemas.microsoft.com/office/drawing/2014/main" id="{00000000-0008-0000-0000-00000201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259" name="Straight Connector 258">
              <a:extLst>
                <a:ext uri="{FF2B5EF4-FFF2-40B4-BE49-F238E27FC236}">
                  <a16:creationId xmlns:a16="http://schemas.microsoft.com/office/drawing/2014/main" id="{00000000-0008-0000-0000-000003010000}"/>
                </a:ext>
              </a:extLst>
            </xdr:cNvPr>
            <xdr:cNvCxnSpPr/>
          </xdr:nvCxnSpPr>
          <xdr:spPr>
            <a:xfrm>
              <a:off x="10493684" y="16081273"/>
              <a:ext cx="1790" cy="52627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000-000004010000}"/>
                </a:ext>
              </a:extLst>
            </xdr:cNvPr>
            <xdr:cNvCxnSpPr/>
          </xdr:nvCxnSpPr>
          <xdr:spPr>
            <a:xfrm>
              <a:off x="11098469" y="16073671"/>
              <a:ext cx="7669" cy="51995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sp macro="" textlink="">
          <xdr:nvSpPr>
            <xdr:cNvPr id="261" name="TextBox 260">
              <a:extLst>
                <a:ext uri="{FF2B5EF4-FFF2-40B4-BE49-F238E27FC236}">
                  <a16:creationId xmlns:a16="http://schemas.microsoft.com/office/drawing/2014/main" id="{00000000-0008-0000-0000-00000501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262" name="TextBox 261">
              <a:extLst>
                <a:ext uri="{FF2B5EF4-FFF2-40B4-BE49-F238E27FC236}">
                  <a16:creationId xmlns:a16="http://schemas.microsoft.com/office/drawing/2014/main" id="{00000000-0008-0000-0000-00000601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263" name="TextBox 262">
              <a:extLst>
                <a:ext uri="{FF2B5EF4-FFF2-40B4-BE49-F238E27FC236}">
                  <a16:creationId xmlns:a16="http://schemas.microsoft.com/office/drawing/2014/main" id="{00000000-0008-0000-0000-00000701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FinalAnalysis!C30">
        <xdr:nvSpPr>
          <xdr:cNvPr id="244" name="TextBox 243">
            <a:extLst>
              <a:ext uri="{FF2B5EF4-FFF2-40B4-BE49-F238E27FC236}">
                <a16:creationId xmlns:a16="http://schemas.microsoft.com/office/drawing/2014/main" id="{00000000-0008-0000-0000-0000F4000000}"/>
              </a:ext>
            </a:extLst>
          </xdr:cNvPr>
          <xdr:cNvSpPr txBox="1"/>
        </xdr:nvSpPr>
        <xdr:spPr>
          <a:xfrm>
            <a:off x="17682756" y="4501096"/>
            <a:ext cx="337799" cy="2642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1C2ECC83-8256-48CB-8B64-A4775B6FC0A1}" type="TxLink">
              <a:rPr lang="en-US" sz="1100" b="1" i="1" u="none" strike="noStrike">
                <a:solidFill>
                  <a:srgbClr val="002060"/>
                </a:solidFill>
                <a:latin typeface="Comic Sans MS" panose="030F0702030302020204" pitchFamily="66" charset="0"/>
                <a:ea typeface="+mn-ea"/>
                <a:cs typeface="+mn-cs"/>
              </a:rPr>
              <a:pPr marL="0" indent="0" algn="l"/>
              <a:t>Overall</a:t>
            </a:fld>
            <a:endParaRPr lang="en-IN" sz="1100" b="1" i="1" u="none" strike="noStrike">
              <a:solidFill>
                <a:srgbClr val="002060"/>
              </a:solidFill>
              <a:latin typeface="Comic Sans MS" panose="030F0702030302020204" pitchFamily="66" charset="0"/>
              <a:ea typeface="+mn-ea"/>
              <a:cs typeface="+mn-cs"/>
            </a:endParaRPr>
          </a:p>
        </xdr:txBody>
      </xdr:sp>
      <xdr:sp macro="" textlink="">
        <xdr:nvSpPr>
          <xdr:cNvPr id="245" name="TextBox 244">
            <a:extLst>
              <a:ext uri="{FF2B5EF4-FFF2-40B4-BE49-F238E27FC236}">
                <a16:creationId xmlns:a16="http://schemas.microsoft.com/office/drawing/2014/main" id="{00000000-0008-0000-0000-0000F5000000}"/>
              </a:ext>
            </a:extLst>
          </xdr:cNvPr>
          <xdr:cNvSpPr txBox="1"/>
        </xdr:nvSpPr>
        <xdr:spPr>
          <a:xfrm>
            <a:off x="18574759" y="4646532"/>
            <a:ext cx="880697" cy="296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J36">
        <xdr:nvSpPr>
          <xdr:cNvPr id="246" name="TextBox 245">
            <a:extLst>
              <a:ext uri="{FF2B5EF4-FFF2-40B4-BE49-F238E27FC236}">
                <a16:creationId xmlns:a16="http://schemas.microsoft.com/office/drawing/2014/main" id="{00000000-0008-0000-0000-0000F6000000}"/>
              </a:ext>
            </a:extLst>
          </xdr:cNvPr>
          <xdr:cNvSpPr txBox="1"/>
        </xdr:nvSpPr>
        <xdr:spPr>
          <a:xfrm>
            <a:off x="15648982" y="4560531"/>
            <a:ext cx="326494" cy="2611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EC744678-68E2-454F-AF00-3D4BE1A8117A}" type="TxLink">
              <a:rPr lang="en-US" sz="1600" b="1" i="0" u="none" strike="noStrike">
                <a:solidFill>
                  <a:srgbClr val="002060"/>
                </a:solidFill>
                <a:latin typeface="Comic Sans MS" panose="030F0702030302020204" pitchFamily="66" charset="0"/>
                <a:ea typeface="+mn-ea"/>
                <a:cs typeface="+mn-cs"/>
              </a:rPr>
              <a:pPr marL="0" indent="0" algn="r"/>
              <a:t>15</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36">
        <xdr:nvSpPr>
          <xdr:cNvPr id="247" name="TextBox 246">
            <a:extLst>
              <a:ext uri="{FF2B5EF4-FFF2-40B4-BE49-F238E27FC236}">
                <a16:creationId xmlns:a16="http://schemas.microsoft.com/office/drawing/2014/main" id="{00000000-0008-0000-0000-0000F7000000}"/>
              </a:ext>
            </a:extLst>
          </xdr:cNvPr>
          <xdr:cNvSpPr txBox="1"/>
        </xdr:nvSpPr>
        <xdr:spPr>
          <a:xfrm>
            <a:off x="16298369" y="4567155"/>
            <a:ext cx="330021" cy="2760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C4D00D84-362C-449F-A408-1C9D2E237C42}" type="TxLink">
              <a:rPr lang="en-US" sz="1200" b="1" i="0" u="none" strike="noStrike">
                <a:solidFill>
                  <a:srgbClr val="002060"/>
                </a:solidFill>
                <a:latin typeface="Comic Sans MS" panose="030F0702030302020204" pitchFamily="66" charset="0"/>
                <a:ea typeface="+mn-ea"/>
                <a:cs typeface="+mn-cs"/>
              </a:rPr>
              <a:pPr marL="0" indent="0" algn="r"/>
              <a:t>7</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36">
        <xdr:nvSpPr>
          <xdr:cNvPr id="248" name="TextBox 247">
            <a:extLst>
              <a:ext uri="{FF2B5EF4-FFF2-40B4-BE49-F238E27FC236}">
                <a16:creationId xmlns:a16="http://schemas.microsoft.com/office/drawing/2014/main" id="{00000000-0008-0000-0000-0000F8000000}"/>
              </a:ext>
            </a:extLst>
          </xdr:cNvPr>
          <xdr:cNvSpPr txBox="1"/>
        </xdr:nvSpPr>
        <xdr:spPr>
          <a:xfrm>
            <a:off x="16831871" y="4557493"/>
            <a:ext cx="315912" cy="2581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7BEBFB66-B1FF-4190-BF54-41734817E4AB}" type="TxLink">
              <a:rPr lang="en-US" sz="1200" b="1" i="0" u="none" strike="noStrike">
                <a:solidFill>
                  <a:srgbClr val="002060"/>
                </a:solidFill>
                <a:latin typeface="Comic Sans MS" panose="030F0702030302020204" pitchFamily="66" charset="0"/>
                <a:ea typeface="+mn-ea"/>
                <a:cs typeface="+mn-cs"/>
              </a:rPr>
              <a:pPr marL="0" indent="0" algn="r"/>
              <a:t>8</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36">
        <xdr:nvSpPr>
          <xdr:cNvPr id="249" name="TextBox 248">
            <a:extLst>
              <a:ext uri="{FF2B5EF4-FFF2-40B4-BE49-F238E27FC236}">
                <a16:creationId xmlns:a16="http://schemas.microsoft.com/office/drawing/2014/main" id="{00000000-0008-0000-0000-0000F9000000}"/>
              </a:ext>
            </a:extLst>
          </xdr:cNvPr>
          <xdr:cNvSpPr txBox="1"/>
        </xdr:nvSpPr>
        <xdr:spPr>
          <a:xfrm>
            <a:off x="14475652" y="5600593"/>
            <a:ext cx="747116" cy="2441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2C0C6787-790E-4642-9726-D894AAFD5505}" type="TxLink">
              <a:rPr lang="en-US" sz="1200" b="1" i="0" u="none" strike="noStrike">
                <a:solidFill>
                  <a:srgbClr val="002060"/>
                </a:solidFill>
                <a:latin typeface="Comic Sans MS" panose="030F0702030302020204" pitchFamily="66" charset="0"/>
                <a:ea typeface="Calibri"/>
                <a:cs typeface="Calibri"/>
              </a:rPr>
              <a:pPr marL="0" indent="0" algn="r"/>
              <a:t>₹2,63,250.00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36">
        <xdr:nvSpPr>
          <xdr:cNvPr id="250" name="TextBox 249">
            <a:extLst>
              <a:ext uri="{FF2B5EF4-FFF2-40B4-BE49-F238E27FC236}">
                <a16:creationId xmlns:a16="http://schemas.microsoft.com/office/drawing/2014/main" id="{00000000-0008-0000-0000-0000FA000000}"/>
              </a:ext>
            </a:extLst>
          </xdr:cNvPr>
          <xdr:cNvSpPr txBox="1"/>
        </xdr:nvSpPr>
        <xdr:spPr>
          <a:xfrm>
            <a:off x="14475652" y="6132752"/>
            <a:ext cx="747116" cy="376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82B6502E-3B6E-4290-A971-4AE60C982499}" type="TxLink">
              <a:rPr lang="en-US" sz="1200" b="1" i="0" u="none" strike="noStrike">
                <a:solidFill>
                  <a:srgbClr val="002060"/>
                </a:solidFill>
                <a:latin typeface="Comic Sans MS" panose="030F0702030302020204" pitchFamily="66" charset="0"/>
                <a:ea typeface="Calibri"/>
                <a:cs typeface="Calibri"/>
              </a:rPr>
              <a:pPr marL="0" indent="0" algn="r"/>
              <a:t>₹2,16,550.00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36">
        <xdr:nvSpPr>
          <xdr:cNvPr id="251" name="TextBox 250">
            <a:extLst>
              <a:ext uri="{FF2B5EF4-FFF2-40B4-BE49-F238E27FC236}">
                <a16:creationId xmlns:a16="http://schemas.microsoft.com/office/drawing/2014/main" id="{00000000-0008-0000-0000-0000FB000000}"/>
              </a:ext>
            </a:extLst>
          </xdr:cNvPr>
          <xdr:cNvSpPr txBox="1"/>
        </xdr:nvSpPr>
        <xdr:spPr>
          <a:xfrm>
            <a:off x="14475652" y="6673839"/>
            <a:ext cx="747116" cy="361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855929C-69F8-45DC-A29B-587A52753EC9}" type="TxLink">
              <a:rPr lang="en-US" sz="1200" b="1" i="0" u="none" strike="noStrike">
                <a:solidFill>
                  <a:srgbClr val="002060"/>
                </a:solidFill>
                <a:latin typeface="Comic Sans MS" panose="030F0702030302020204" pitchFamily="66" charset="0"/>
                <a:ea typeface="Calibri"/>
                <a:cs typeface="Calibri"/>
              </a:rPr>
              <a:pPr marL="0" indent="0" algn="r"/>
              <a:t>₹46,700.00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252" name="Group 251">
            <a:extLst>
              <a:ext uri="{FF2B5EF4-FFF2-40B4-BE49-F238E27FC236}">
                <a16:creationId xmlns:a16="http://schemas.microsoft.com/office/drawing/2014/main" id="{00000000-0008-0000-0000-0000FC000000}"/>
              </a:ext>
            </a:extLst>
          </xdr:cNvPr>
          <xdr:cNvGrpSpPr/>
        </xdr:nvGrpSpPr>
        <xdr:grpSpPr>
          <a:xfrm>
            <a:off x="15085810" y="7159079"/>
            <a:ext cx="3504692" cy="1220105"/>
            <a:chOff x="1893241" y="7278981"/>
            <a:chExt cx="3509076" cy="1223521"/>
          </a:xfrm>
        </xdr:grpSpPr>
        <xdr:cxnSp macro="">
          <xdr:nvCxnSpPr>
            <xdr:cNvPr id="253" name="Straight Connector 252">
              <a:extLst>
                <a:ext uri="{FF2B5EF4-FFF2-40B4-BE49-F238E27FC236}">
                  <a16:creationId xmlns:a16="http://schemas.microsoft.com/office/drawing/2014/main" id="{00000000-0008-0000-0000-0000FD000000}"/>
                </a:ext>
              </a:extLst>
            </xdr:cNvPr>
            <xdr:cNvCxnSpPr/>
          </xdr:nvCxnSpPr>
          <xdr:spPr>
            <a:xfrm>
              <a:off x="3061913" y="7349537"/>
              <a:ext cx="4208" cy="112944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000-0000FE000000}"/>
                </a:ext>
              </a:extLst>
            </xdr:cNvPr>
            <xdr:cNvCxnSpPr/>
          </xdr:nvCxnSpPr>
          <xdr:spPr>
            <a:xfrm>
              <a:off x="4230586" y="7396574"/>
              <a:ext cx="2448" cy="1093728"/>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000-0000FF000000}"/>
                </a:ext>
              </a:extLst>
            </xdr:cNvPr>
            <xdr:cNvCxnSpPr/>
          </xdr:nvCxnSpPr>
          <xdr:spPr>
            <a:xfrm>
              <a:off x="5397500" y="7361296"/>
              <a:ext cx="4817" cy="109528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000-000000010000}"/>
                </a:ext>
              </a:extLst>
            </xdr:cNvPr>
            <xdr:cNvCxnSpPr/>
          </xdr:nvCxnSpPr>
          <xdr:spPr>
            <a:xfrm>
              <a:off x="1893241" y="7278981"/>
              <a:ext cx="4207" cy="122352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18</xdr:col>
      <xdr:colOff>202505</xdr:colOff>
      <xdr:row>50</xdr:row>
      <xdr:rowOff>149991</xdr:rowOff>
    </xdr:from>
    <xdr:to>
      <xdr:col>25</xdr:col>
      <xdr:colOff>51676</xdr:colOff>
      <xdr:row>75</xdr:row>
      <xdr:rowOff>23500</xdr:rowOff>
    </xdr:to>
    <xdr:grpSp>
      <xdr:nvGrpSpPr>
        <xdr:cNvPr id="288" name="Group 287">
          <a:extLst>
            <a:ext uri="{FF2B5EF4-FFF2-40B4-BE49-F238E27FC236}">
              <a16:creationId xmlns:a16="http://schemas.microsoft.com/office/drawing/2014/main" id="{00000000-0008-0000-0000-000020010000}"/>
            </a:ext>
          </a:extLst>
        </xdr:cNvPr>
        <xdr:cNvGrpSpPr/>
      </xdr:nvGrpSpPr>
      <xdr:grpSpPr>
        <a:xfrm>
          <a:off x="13526557" y="9456025"/>
          <a:ext cx="6133481" cy="4526527"/>
          <a:chOff x="6981123" y="8971586"/>
          <a:chExt cx="6141089" cy="4318509"/>
        </a:xfrm>
      </xdr:grpSpPr>
      <xdr:grpSp>
        <xdr:nvGrpSpPr>
          <xdr:cNvPr id="289" name="Group 288">
            <a:extLst>
              <a:ext uri="{FF2B5EF4-FFF2-40B4-BE49-F238E27FC236}">
                <a16:creationId xmlns:a16="http://schemas.microsoft.com/office/drawing/2014/main" id="{00000000-0008-0000-0000-000021010000}"/>
              </a:ext>
            </a:extLst>
          </xdr:cNvPr>
          <xdr:cNvGrpSpPr/>
        </xdr:nvGrpSpPr>
        <xdr:grpSpPr>
          <a:xfrm>
            <a:off x="6981123" y="8971586"/>
            <a:ext cx="6141089" cy="4318509"/>
            <a:chOff x="344766" y="4265801"/>
            <a:chExt cx="6055631" cy="4281500"/>
          </a:xfrm>
        </xdr:grpSpPr>
        <xdr:grpSp>
          <xdr:nvGrpSpPr>
            <xdr:cNvPr id="320" name="Group 319">
              <a:extLst>
                <a:ext uri="{FF2B5EF4-FFF2-40B4-BE49-F238E27FC236}">
                  <a16:creationId xmlns:a16="http://schemas.microsoft.com/office/drawing/2014/main" id="{00000000-0008-0000-0000-000040010000}"/>
                </a:ext>
              </a:extLst>
            </xdr:cNvPr>
            <xdr:cNvGrpSpPr>
              <a:grpSpLocks/>
            </xdr:cNvGrpSpPr>
          </xdr:nvGrpSpPr>
          <xdr:grpSpPr>
            <a:xfrm>
              <a:off x="344766" y="4265801"/>
              <a:ext cx="6055631" cy="4281500"/>
              <a:chOff x="4615628" y="16240125"/>
              <a:chExt cx="5388081" cy="4325195"/>
            </a:xfrm>
          </xdr:grpSpPr>
          <xdr:sp macro="" textlink="">
            <xdr:nvSpPr>
              <xdr:cNvPr id="329" name="Rectangle 328">
                <a:extLst>
                  <a:ext uri="{FF2B5EF4-FFF2-40B4-BE49-F238E27FC236}">
                    <a16:creationId xmlns:a16="http://schemas.microsoft.com/office/drawing/2014/main" id="{00000000-0008-0000-0000-00004901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30" name="Group 329">
                <a:extLst>
                  <a:ext uri="{FF2B5EF4-FFF2-40B4-BE49-F238E27FC236}">
                    <a16:creationId xmlns:a16="http://schemas.microsoft.com/office/drawing/2014/main" id="{00000000-0008-0000-0000-00004A010000}"/>
                  </a:ext>
                </a:extLst>
              </xdr:cNvPr>
              <xdr:cNvGrpSpPr/>
            </xdr:nvGrpSpPr>
            <xdr:grpSpPr>
              <a:xfrm>
                <a:off x="4615628" y="16240125"/>
                <a:ext cx="5388081" cy="4325195"/>
                <a:chOff x="4615628" y="16240125"/>
                <a:chExt cx="5388081" cy="4325195"/>
              </a:xfrm>
            </xdr:grpSpPr>
            <xdr:sp macro="" textlink="">
              <xdr:nvSpPr>
                <xdr:cNvPr id="337" name="Rectangle: Rounded Corners 336">
                  <a:extLst>
                    <a:ext uri="{FF2B5EF4-FFF2-40B4-BE49-F238E27FC236}">
                      <a16:creationId xmlns:a16="http://schemas.microsoft.com/office/drawing/2014/main" id="{00000000-0008-0000-0000-00005101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38" name="Group 337">
                  <a:extLst>
                    <a:ext uri="{FF2B5EF4-FFF2-40B4-BE49-F238E27FC236}">
                      <a16:creationId xmlns:a16="http://schemas.microsoft.com/office/drawing/2014/main" id="{00000000-0008-0000-0000-000052010000}"/>
                    </a:ext>
                  </a:extLst>
                </xdr:cNvPr>
                <xdr:cNvGrpSpPr/>
              </xdr:nvGrpSpPr>
              <xdr:grpSpPr>
                <a:xfrm>
                  <a:off x="4615628" y="16240125"/>
                  <a:ext cx="5388081" cy="4325195"/>
                  <a:chOff x="4615628" y="16240125"/>
                  <a:chExt cx="5388081" cy="4325195"/>
                </a:xfrm>
              </xdr:grpSpPr>
              <xdr:sp macro="" textlink="">
                <xdr:nvSpPr>
                  <xdr:cNvPr id="340" name="TextBox 339">
                    <a:extLst>
                      <a:ext uri="{FF2B5EF4-FFF2-40B4-BE49-F238E27FC236}">
                        <a16:creationId xmlns:a16="http://schemas.microsoft.com/office/drawing/2014/main" id="{00000000-0008-0000-0000-000054010000}"/>
                      </a:ext>
                    </a:extLst>
                  </xdr:cNvPr>
                  <xdr:cNvSpPr txBox="1"/>
                </xdr:nvSpPr>
                <xdr:spPr>
                  <a:xfrm rot="10800000">
                    <a:off x="4616920" y="19139810"/>
                    <a:ext cx="5386535" cy="142551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341" name="TextBox 340">
                    <a:extLst>
                      <a:ext uri="{FF2B5EF4-FFF2-40B4-BE49-F238E27FC236}">
                        <a16:creationId xmlns:a16="http://schemas.microsoft.com/office/drawing/2014/main" id="{00000000-0008-0000-0000-000055010000}"/>
                      </a:ext>
                    </a:extLst>
                  </xdr:cNvPr>
                  <xdr:cNvSpPr txBox="1"/>
                </xdr:nvSpPr>
                <xdr:spPr>
                  <a:xfrm rot="5400000">
                    <a:off x="8531448" y="18482441"/>
                    <a:ext cx="2853472" cy="87824"/>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342" name="TextBox 341">
                    <a:extLst>
                      <a:ext uri="{FF2B5EF4-FFF2-40B4-BE49-F238E27FC236}">
                        <a16:creationId xmlns:a16="http://schemas.microsoft.com/office/drawing/2014/main" id="{00000000-0008-0000-0000-000056010000}"/>
                      </a:ext>
                    </a:extLst>
                  </xdr:cNvPr>
                  <xdr:cNvSpPr txBox="1"/>
                </xdr:nvSpPr>
                <xdr:spPr>
                  <a:xfrm>
                    <a:off x="4615628" y="16240125"/>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343" name="Rectangle 342">
                    <a:extLst>
                      <a:ext uri="{FF2B5EF4-FFF2-40B4-BE49-F238E27FC236}">
                        <a16:creationId xmlns:a16="http://schemas.microsoft.com/office/drawing/2014/main" id="{00000000-0008-0000-0000-000057010000}"/>
                      </a:ext>
                    </a:extLst>
                  </xdr:cNvPr>
                  <xdr:cNvSpPr/>
                </xdr:nvSpPr>
                <xdr:spPr>
                  <a:xfrm>
                    <a:off x="4617489" y="17304469"/>
                    <a:ext cx="1552110" cy="2531057"/>
                  </a:xfrm>
                  <a:prstGeom prst="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339" name="Rectangle: Rounded Corners 338">
                  <a:extLst>
                    <a:ext uri="{FF2B5EF4-FFF2-40B4-BE49-F238E27FC236}">
                      <a16:creationId xmlns:a16="http://schemas.microsoft.com/office/drawing/2014/main" id="{00000000-0008-0000-0000-00005301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331" name="Rectangle: Rounded Corners 330">
                <a:extLst>
                  <a:ext uri="{FF2B5EF4-FFF2-40B4-BE49-F238E27FC236}">
                    <a16:creationId xmlns:a16="http://schemas.microsoft.com/office/drawing/2014/main" id="{00000000-0008-0000-0000-00004B01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32" name="Rectangle: Rounded Corners 331">
                <a:extLst>
                  <a:ext uri="{FF2B5EF4-FFF2-40B4-BE49-F238E27FC236}">
                    <a16:creationId xmlns:a16="http://schemas.microsoft.com/office/drawing/2014/main" id="{00000000-0008-0000-0000-00004C01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33" name="TextBox 332">
                <a:extLst>
                  <a:ext uri="{FF2B5EF4-FFF2-40B4-BE49-F238E27FC236}">
                    <a16:creationId xmlns:a16="http://schemas.microsoft.com/office/drawing/2014/main" id="{00000000-0008-0000-0000-00004D01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334" name="TextBox 333">
                <a:extLst>
                  <a:ext uri="{FF2B5EF4-FFF2-40B4-BE49-F238E27FC236}">
                    <a16:creationId xmlns:a16="http://schemas.microsoft.com/office/drawing/2014/main" id="{00000000-0008-0000-0000-00004E010000}"/>
                  </a:ext>
                </a:extLst>
              </xdr:cNvPr>
              <xdr:cNvSpPr txBox="1"/>
            </xdr:nvSpPr>
            <xdr:spPr>
              <a:xfrm>
                <a:off x="5296264" y="1857557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335" name="TextBox 334">
                <a:extLst>
                  <a:ext uri="{FF2B5EF4-FFF2-40B4-BE49-F238E27FC236}">
                    <a16:creationId xmlns:a16="http://schemas.microsoft.com/office/drawing/2014/main" id="{00000000-0008-0000-0000-00004F010000}"/>
                  </a:ext>
                </a:extLst>
              </xdr:cNvPr>
              <xdr:cNvSpPr txBox="1"/>
            </xdr:nvSpPr>
            <xdr:spPr>
              <a:xfrm>
                <a:off x="4882350" y="17437236"/>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336" name="Rectangle: Rounded Corners 335">
                <a:extLst>
                  <a:ext uri="{FF2B5EF4-FFF2-40B4-BE49-F238E27FC236}">
                    <a16:creationId xmlns:a16="http://schemas.microsoft.com/office/drawing/2014/main" id="{00000000-0008-0000-0000-00005001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321" name="Group 320">
              <a:extLst>
                <a:ext uri="{FF2B5EF4-FFF2-40B4-BE49-F238E27FC236}">
                  <a16:creationId xmlns:a16="http://schemas.microsoft.com/office/drawing/2014/main" id="{00000000-0008-0000-0000-000041010000}"/>
                </a:ext>
              </a:extLst>
            </xdr:cNvPr>
            <xdr:cNvGrpSpPr/>
          </xdr:nvGrpSpPr>
          <xdr:grpSpPr>
            <a:xfrm>
              <a:off x="483811" y="7299688"/>
              <a:ext cx="5557778" cy="914201"/>
              <a:chOff x="483811" y="7299688"/>
              <a:chExt cx="5557778" cy="914201"/>
            </a:xfrm>
          </xdr:grpSpPr>
          <xdr:sp macro="" textlink="">
            <xdr:nvSpPr>
              <xdr:cNvPr id="322" name="TextBox 321">
                <a:extLst>
                  <a:ext uri="{FF2B5EF4-FFF2-40B4-BE49-F238E27FC236}">
                    <a16:creationId xmlns:a16="http://schemas.microsoft.com/office/drawing/2014/main" id="{00000000-0008-0000-0000-00004201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323" name="TextBox 322">
                <a:extLst>
                  <a:ext uri="{FF2B5EF4-FFF2-40B4-BE49-F238E27FC236}">
                    <a16:creationId xmlns:a16="http://schemas.microsoft.com/office/drawing/2014/main" id="{00000000-0008-0000-0000-00004301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324" name="TextBox 323">
                <a:extLst>
                  <a:ext uri="{FF2B5EF4-FFF2-40B4-BE49-F238E27FC236}">
                    <a16:creationId xmlns:a16="http://schemas.microsoft.com/office/drawing/2014/main" id="{00000000-0008-0000-0000-00004401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325" name="TextBox 324">
                <a:extLst>
                  <a:ext uri="{FF2B5EF4-FFF2-40B4-BE49-F238E27FC236}">
                    <a16:creationId xmlns:a16="http://schemas.microsoft.com/office/drawing/2014/main" id="{00000000-0008-0000-0000-00004501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326" name="TextBox 325">
                <a:extLst>
                  <a:ext uri="{FF2B5EF4-FFF2-40B4-BE49-F238E27FC236}">
                    <a16:creationId xmlns:a16="http://schemas.microsoft.com/office/drawing/2014/main" id="{00000000-0008-0000-0000-00004601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327" name="TextBox 326">
                <a:extLst>
                  <a:ext uri="{FF2B5EF4-FFF2-40B4-BE49-F238E27FC236}">
                    <a16:creationId xmlns:a16="http://schemas.microsoft.com/office/drawing/2014/main" id="{00000000-0008-0000-0000-00004701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328" name="TextBox 327">
                <a:extLst>
                  <a:ext uri="{FF2B5EF4-FFF2-40B4-BE49-F238E27FC236}">
                    <a16:creationId xmlns:a16="http://schemas.microsoft.com/office/drawing/2014/main" id="{00000000-0008-0000-0000-00004801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sp macro="" textlink="">
        <xdr:nvSpPr>
          <xdr:cNvPr id="290" name="TextBox 289">
            <a:extLst>
              <a:ext uri="{FF2B5EF4-FFF2-40B4-BE49-F238E27FC236}">
                <a16:creationId xmlns:a16="http://schemas.microsoft.com/office/drawing/2014/main" id="{00000000-0008-0000-0000-000022010000}"/>
              </a:ext>
            </a:extLst>
          </xdr:cNvPr>
          <xdr:cNvSpPr txBox="1"/>
        </xdr:nvSpPr>
        <xdr:spPr>
          <a:xfrm>
            <a:off x="7070904" y="9143789"/>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III</a:t>
            </a:r>
            <a:endParaRPr lang="en-IN" sz="3100" b="1" i="0" spc="200" baseline="0">
              <a:solidFill>
                <a:schemeClr val="bg1"/>
              </a:solidFill>
              <a:latin typeface="Calisto MT" panose="02040603050505030304" pitchFamily="18" charset="0"/>
            </a:endParaRPr>
          </a:p>
        </xdr:txBody>
      </xdr:sp>
      <xdr:sp macro="" textlink="FinalAnalysis!C65">
        <xdr:nvSpPr>
          <xdr:cNvPr id="291" name="TextBox 290">
            <a:extLst>
              <a:ext uri="{FF2B5EF4-FFF2-40B4-BE49-F238E27FC236}">
                <a16:creationId xmlns:a16="http://schemas.microsoft.com/office/drawing/2014/main" id="{00000000-0008-0000-0000-000023010000}"/>
              </a:ext>
            </a:extLst>
          </xdr:cNvPr>
          <xdr:cNvSpPr txBox="1"/>
        </xdr:nvSpPr>
        <xdr:spPr>
          <a:xfrm>
            <a:off x="8643817" y="1246148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C679C464-0FDC-4675-8EF2-1D5260699BCA}" type="TxLink">
              <a:rPr lang="en-US" sz="1200" b="1" i="0" u="none" strike="noStrike">
                <a:solidFill>
                  <a:srgbClr val="002060"/>
                </a:solidFill>
                <a:latin typeface="Comic Sans MS" panose="030F0702030302020204" pitchFamily="66" charset="0"/>
                <a:ea typeface="Calibri"/>
                <a:cs typeface="Calibri"/>
              </a:rPr>
              <a:pPr marL="0" indent="0" algn="r"/>
              <a:t>₹ 91,000.00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5">
        <xdr:nvSpPr>
          <xdr:cNvPr id="292" name="TextBox 291">
            <a:extLst>
              <a:ext uri="{FF2B5EF4-FFF2-40B4-BE49-F238E27FC236}">
                <a16:creationId xmlns:a16="http://schemas.microsoft.com/office/drawing/2014/main" id="{00000000-0008-0000-0000-000024010000}"/>
              </a:ext>
            </a:extLst>
          </xdr:cNvPr>
          <xdr:cNvSpPr txBox="1"/>
        </xdr:nvSpPr>
        <xdr:spPr>
          <a:xfrm>
            <a:off x="9793476" y="1244084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8B417301-EA79-4C75-9CD8-9186E97BB38B}" type="TxLink">
              <a:rPr lang="en-US" sz="1200" b="1" i="0" u="none" strike="noStrike">
                <a:solidFill>
                  <a:srgbClr val="002060"/>
                </a:solidFill>
                <a:latin typeface="Comic Sans MS" panose="030F0702030302020204" pitchFamily="66" charset="0"/>
                <a:ea typeface="Calibri"/>
                <a:cs typeface="Calibri"/>
              </a:rPr>
              <a:pPr marL="0" indent="0" algn="r"/>
              <a:t>₹ 20,500.00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5">
        <xdr:nvSpPr>
          <xdr:cNvPr id="293" name="TextBox 292">
            <a:extLst>
              <a:ext uri="{FF2B5EF4-FFF2-40B4-BE49-F238E27FC236}">
                <a16:creationId xmlns:a16="http://schemas.microsoft.com/office/drawing/2014/main" id="{00000000-0008-0000-0000-000025010000}"/>
              </a:ext>
            </a:extLst>
          </xdr:cNvPr>
          <xdr:cNvSpPr txBox="1"/>
        </xdr:nvSpPr>
        <xdr:spPr>
          <a:xfrm>
            <a:off x="10957890" y="1244840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77B7476-559A-407D-BACB-A4450FF2988B}" type="TxLink">
              <a:rPr lang="en-US" sz="1200" b="1" i="0" u="none" strike="noStrike">
                <a:solidFill>
                  <a:srgbClr val="002060"/>
                </a:solidFill>
                <a:latin typeface="Comic Sans MS" panose="030F0702030302020204" pitchFamily="66" charset="0"/>
                <a:ea typeface="Calibri"/>
                <a:cs typeface="Calibri"/>
              </a:rPr>
              <a:pPr marL="0" indent="0" algn="r"/>
              <a:t>₹ 12,000.00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5">
        <xdr:nvSpPr>
          <xdr:cNvPr id="294" name="TextBox 293">
            <a:extLst>
              <a:ext uri="{FF2B5EF4-FFF2-40B4-BE49-F238E27FC236}">
                <a16:creationId xmlns:a16="http://schemas.microsoft.com/office/drawing/2014/main" id="{00000000-0008-0000-0000-000026010000}"/>
              </a:ext>
            </a:extLst>
          </xdr:cNvPr>
          <xdr:cNvSpPr txBox="1"/>
        </xdr:nvSpPr>
        <xdr:spPr>
          <a:xfrm>
            <a:off x="11807815" y="1244840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C5663481-6595-4DAB-848D-827F7BBBBE46}" type="TxLink">
              <a:rPr lang="en-US" sz="1200" b="1" i="0" u="none" strike="noStrike">
                <a:solidFill>
                  <a:srgbClr val="002060"/>
                </a:solidFill>
                <a:latin typeface="Comic Sans MS" panose="030F0702030302020204" pitchFamily="66" charset="0"/>
                <a:ea typeface="Calibri"/>
                <a:cs typeface="Calibri"/>
              </a:rPr>
              <a:pPr marL="0" indent="0" algn="r"/>
              <a:t>₹ 36,500.00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5">
        <xdr:nvSpPr>
          <xdr:cNvPr id="295" name="TextBox 294">
            <a:extLst>
              <a:ext uri="{FF2B5EF4-FFF2-40B4-BE49-F238E27FC236}">
                <a16:creationId xmlns:a16="http://schemas.microsoft.com/office/drawing/2014/main" id="{00000000-0008-0000-0000-000027010000}"/>
              </a:ext>
            </a:extLst>
          </xdr:cNvPr>
          <xdr:cNvSpPr txBox="1"/>
        </xdr:nvSpPr>
        <xdr:spPr>
          <a:xfrm>
            <a:off x="8633736" y="1273952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969DBD2-F42E-45AC-A25A-73D865086516}" type="TxLink">
              <a:rPr lang="en-US" sz="1200" b="1" i="0" u="none" strike="noStrike">
                <a:solidFill>
                  <a:srgbClr val="002060"/>
                </a:solidFill>
                <a:latin typeface="Comic Sans MS" panose="030F0702030302020204" pitchFamily="66" charset="0"/>
                <a:ea typeface="Calibri"/>
                <a:cs typeface="Calibri"/>
              </a:rPr>
              <a:pPr marL="0" indent="0" algn="r"/>
              <a:t>-₹ 31,000.00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5">
        <xdr:nvSpPr>
          <xdr:cNvPr id="296" name="TextBox 295">
            <a:extLst>
              <a:ext uri="{FF2B5EF4-FFF2-40B4-BE49-F238E27FC236}">
                <a16:creationId xmlns:a16="http://schemas.microsoft.com/office/drawing/2014/main" id="{00000000-0008-0000-0000-000028010000}"/>
              </a:ext>
            </a:extLst>
          </xdr:cNvPr>
          <xdr:cNvSpPr txBox="1"/>
        </xdr:nvSpPr>
        <xdr:spPr>
          <a:xfrm>
            <a:off x="9783396" y="1271887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724880F1-5A9A-41C4-B37E-E924FACC75A6}" type="TxLink">
              <a:rPr lang="en-US" sz="1200" b="1" i="0" u="none" strike="noStrike">
                <a:solidFill>
                  <a:srgbClr val="002060"/>
                </a:solidFill>
                <a:latin typeface="Comic Sans MS" panose="030F0702030302020204" pitchFamily="66" charset="0"/>
                <a:ea typeface="Calibri"/>
                <a:cs typeface="Calibri"/>
              </a:rPr>
              <a:pPr marL="0" indent="0" algn="r"/>
              <a:t>₹ 9,500.00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5">
        <xdr:nvSpPr>
          <xdr:cNvPr id="297" name="TextBox 296">
            <a:extLst>
              <a:ext uri="{FF2B5EF4-FFF2-40B4-BE49-F238E27FC236}">
                <a16:creationId xmlns:a16="http://schemas.microsoft.com/office/drawing/2014/main" id="{00000000-0008-0000-0000-000029010000}"/>
              </a:ext>
            </a:extLst>
          </xdr:cNvPr>
          <xdr:cNvSpPr txBox="1"/>
        </xdr:nvSpPr>
        <xdr:spPr>
          <a:xfrm>
            <a:off x="10957890" y="1272643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DEDCF42-ECC4-4C19-8747-9894DD47282C}" type="TxLink">
              <a:rPr lang="en-US" sz="1200" b="1" i="0" u="none" strike="noStrike">
                <a:solidFill>
                  <a:srgbClr val="002060"/>
                </a:solidFill>
                <a:latin typeface="Comic Sans MS" panose="030F0702030302020204" pitchFamily="66" charset="0"/>
                <a:ea typeface="Calibri"/>
                <a:cs typeface="Calibri"/>
              </a:rPr>
              <a:pPr marL="0" indent="0" algn="r"/>
              <a:t>₹ 3,000.00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5">
        <xdr:nvSpPr>
          <xdr:cNvPr id="298" name="TextBox 297">
            <a:extLst>
              <a:ext uri="{FF2B5EF4-FFF2-40B4-BE49-F238E27FC236}">
                <a16:creationId xmlns:a16="http://schemas.microsoft.com/office/drawing/2014/main" id="{00000000-0008-0000-0000-00002A010000}"/>
              </a:ext>
            </a:extLst>
          </xdr:cNvPr>
          <xdr:cNvSpPr txBox="1"/>
        </xdr:nvSpPr>
        <xdr:spPr>
          <a:xfrm>
            <a:off x="11797735" y="1272643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7F5C3B3A-6369-4FEB-B625-106FC3B85EBA}" type="TxLink">
              <a:rPr lang="en-US" sz="1200" b="1" i="0" u="none" strike="noStrike">
                <a:solidFill>
                  <a:srgbClr val="002060"/>
                </a:solidFill>
                <a:latin typeface="Comic Sans MS" panose="030F0702030302020204" pitchFamily="66" charset="0"/>
                <a:ea typeface="Calibri"/>
                <a:cs typeface="Calibri"/>
              </a:rPr>
              <a:pPr marL="0" indent="0" algn="r"/>
              <a:t>₹ 1,21,000.00</a:t>
            </a:fld>
            <a:endParaRPr lang="en-US" sz="1200" b="1" i="0" u="none" strike="noStrike">
              <a:solidFill>
                <a:srgbClr val="002060"/>
              </a:solidFill>
              <a:latin typeface="Comic Sans MS" panose="030F0702030302020204" pitchFamily="66" charset="0"/>
              <a:ea typeface="+mn-ea"/>
              <a:cs typeface="+mn-cs"/>
            </a:endParaRPr>
          </a:p>
        </xdr:txBody>
      </xdr:sp>
      <xdr:grpSp>
        <xdr:nvGrpSpPr>
          <xdr:cNvPr id="299" name="Group 298">
            <a:extLst>
              <a:ext uri="{FF2B5EF4-FFF2-40B4-BE49-F238E27FC236}">
                <a16:creationId xmlns:a16="http://schemas.microsoft.com/office/drawing/2014/main" id="{00000000-0008-0000-0000-00002B010000}"/>
              </a:ext>
            </a:extLst>
          </xdr:cNvPr>
          <xdr:cNvGrpSpPr/>
        </xdr:nvGrpSpPr>
        <xdr:grpSpPr>
          <a:xfrm>
            <a:off x="8726671" y="9143789"/>
            <a:ext cx="4174668" cy="617933"/>
            <a:chOff x="9772834" y="16020484"/>
            <a:chExt cx="4173657" cy="595815"/>
          </a:xfrm>
        </xdr:grpSpPr>
        <xdr:sp macro="" textlink="">
          <xdr:nvSpPr>
            <xdr:cNvPr id="313" name="Rectangle: Rounded Corners 312">
              <a:extLst>
                <a:ext uri="{FF2B5EF4-FFF2-40B4-BE49-F238E27FC236}">
                  <a16:creationId xmlns:a16="http://schemas.microsoft.com/office/drawing/2014/main" id="{00000000-0008-0000-0000-00003901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4" name="Rectangle: Rounded Corners 313">
              <a:extLst>
                <a:ext uri="{FF2B5EF4-FFF2-40B4-BE49-F238E27FC236}">
                  <a16:creationId xmlns:a16="http://schemas.microsoft.com/office/drawing/2014/main" id="{00000000-0008-0000-0000-00003A01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315" name="Straight Connector 314">
              <a:extLst>
                <a:ext uri="{FF2B5EF4-FFF2-40B4-BE49-F238E27FC236}">
                  <a16:creationId xmlns:a16="http://schemas.microsoft.com/office/drawing/2014/main" id="{00000000-0008-0000-0000-00003B010000}"/>
                </a:ext>
              </a:extLst>
            </xdr:cNvPr>
            <xdr:cNvCxnSpPr/>
          </xdr:nvCxnSpPr>
          <xdr:spPr>
            <a:xfrm>
              <a:off x="10466812" y="16090026"/>
              <a:ext cx="1790" cy="52627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000-00003C010000}"/>
                </a:ext>
              </a:extLst>
            </xdr:cNvPr>
            <xdr:cNvCxnSpPr/>
          </xdr:nvCxnSpPr>
          <xdr:spPr>
            <a:xfrm>
              <a:off x="11098469" y="16073671"/>
              <a:ext cx="7669" cy="51995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sp macro="" textlink="">
          <xdr:nvSpPr>
            <xdr:cNvPr id="317" name="TextBox 316">
              <a:extLst>
                <a:ext uri="{FF2B5EF4-FFF2-40B4-BE49-F238E27FC236}">
                  <a16:creationId xmlns:a16="http://schemas.microsoft.com/office/drawing/2014/main" id="{00000000-0008-0000-0000-00003D01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318" name="TextBox 317">
              <a:extLst>
                <a:ext uri="{FF2B5EF4-FFF2-40B4-BE49-F238E27FC236}">
                  <a16:creationId xmlns:a16="http://schemas.microsoft.com/office/drawing/2014/main" id="{00000000-0008-0000-0000-00003E01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319" name="TextBox 318">
              <a:extLst>
                <a:ext uri="{FF2B5EF4-FFF2-40B4-BE49-F238E27FC236}">
                  <a16:creationId xmlns:a16="http://schemas.microsoft.com/office/drawing/2014/main" id="{00000000-0008-0000-0000-00003F01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300" name="TextBox 299">
            <a:extLst>
              <a:ext uri="{FF2B5EF4-FFF2-40B4-BE49-F238E27FC236}">
                <a16:creationId xmlns:a16="http://schemas.microsoft.com/office/drawing/2014/main" id="{00000000-0008-0000-0000-00002C010000}"/>
              </a:ext>
            </a:extLst>
          </xdr:cNvPr>
          <xdr:cNvSpPr txBox="1"/>
        </xdr:nvSpPr>
        <xdr:spPr>
          <a:xfrm>
            <a:off x="12223204" y="9444828"/>
            <a:ext cx="657371" cy="296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C30">
        <xdr:nvSpPr>
          <xdr:cNvPr id="301" name="TextBox 300">
            <a:extLst>
              <a:ext uri="{FF2B5EF4-FFF2-40B4-BE49-F238E27FC236}">
                <a16:creationId xmlns:a16="http://schemas.microsoft.com/office/drawing/2014/main" id="{00000000-0008-0000-0000-00002D010000}"/>
              </a:ext>
            </a:extLst>
          </xdr:cNvPr>
          <xdr:cNvSpPr txBox="1"/>
        </xdr:nvSpPr>
        <xdr:spPr>
          <a:xfrm>
            <a:off x="11011368" y="9305264"/>
            <a:ext cx="672142" cy="2613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EFC5A051-E43C-4080-9D30-59D53544EA09}"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FinalAnalysis!J38">
        <xdr:nvSpPr>
          <xdr:cNvPr id="302" name="TextBox 301">
            <a:extLst>
              <a:ext uri="{FF2B5EF4-FFF2-40B4-BE49-F238E27FC236}">
                <a16:creationId xmlns:a16="http://schemas.microsoft.com/office/drawing/2014/main" id="{00000000-0008-0000-0000-00002E010000}"/>
              </a:ext>
            </a:extLst>
          </xdr:cNvPr>
          <xdr:cNvSpPr txBox="1"/>
        </xdr:nvSpPr>
        <xdr:spPr>
          <a:xfrm>
            <a:off x="8931850" y="9356564"/>
            <a:ext cx="326494"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D0D3D6C4-0674-4E68-A2B1-020C02890D7E}" type="TxLink">
              <a:rPr lang="en-US" sz="1600" b="1" i="0" u="none" strike="noStrike">
                <a:solidFill>
                  <a:srgbClr val="002060"/>
                </a:solidFill>
                <a:latin typeface="Comic Sans MS" panose="030F0702030302020204" pitchFamily="66" charset="0"/>
                <a:ea typeface="+mn-ea"/>
                <a:cs typeface="+mn-cs"/>
              </a:rPr>
              <a:pPr marL="0" indent="0" algn="r"/>
              <a:t>10</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38">
        <xdr:nvSpPr>
          <xdr:cNvPr id="303" name="TextBox 302">
            <a:extLst>
              <a:ext uri="{FF2B5EF4-FFF2-40B4-BE49-F238E27FC236}">
                <a16:creationId xmlns:a16="http://schemas.microsoft.com/office/drawing/2014/main" id="{00000000-0008-0000-0000-00002F010000}"/>
              </a:ext>
            </a:extLst>
          </xdr:cNvPr>
          <xdr:cNvSpPr txBox="1"/>
        </xdr:nvSpPr>
        <xdr:spPr>
          <a:xfrm>
            <a:off x="9549612" y="9361474"/>
            <a:ext cx="330021" cy="2795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70CEB8CD-3780-473C-B63E-828EC9EBAA6D}" type="TxLink">
              <a:rPr lang="en-US" sz="1200" b="1" i="0" u="none" strike="noStrike">
                <a:solidFill>
                  <a:srgbClr val="002060"/>
                </a:solidFill>
                <a:latin typeface="Comic Sans MS" panose="030F0702030302020204" pitchFamily="66" charset="0"/>
                <a:ea typeface="+mn-ea"/>
                <a:cs typeface="+mn-cs"/>
              </a:rPr>
              <a:pPr marL="0" indent="0" algn="r"/>
              <a:t>4</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38">
        <xdr:nvSpPr>
          <xdr:cNvPr id="304" name="TextBox 303">
            <a:extLst>
              <a:ext uri="{FF2B5EF4-FFF2-40B4-BE49-F238E27FC236}">
                <a16:creationId xmlns:a16="http://schemas.microsoft.com/office/drawing/2014/main" id="{00000000-0008-0000-0000-000030010000}"/>
              </a:ext>
            </a:extLst>
          </xdr:cNvPr>
          <xdr:cNvSpPr txBox="1"/>
        </xdr:nvSpPr>
        <xdr:spPr>
          <a:xfrm>
            <a:off x="10147628" y="9356564"/>
            <a:ext cx="315912"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C5B68C4-8168-47BC-8DED-918B4572023F}" type="TxLink">
              <a:rPr lang="en-US" sz="1200" b="1" i="0" u="none" strike="noStrike">
                <a:solidFill>
                  <a:srgbClr val="002060"/>
                </a:solidFill>
                <a:latin typeface="Comic Sans MS" panose="030F0702030302020204" pitchFamily="66" charset="0"/>
                <a:ea typeface="+mn-ea"/>
                <a:cs typeface="+mn-cs"/>
              </a:rPr>
              <a:pPr marL="0" indent="0" algn="r"/>
              <a:t>6</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38">
        <xdr:nvSpPr>
          <xdr:cNvPr id="305" name="TextBox 304">
            <a:extLst>
              <a:ext uri="{FF2B5EF4-FFF2-40B4-BE49-F238E27FC236}">
                <a16:creationId xmlns:a16="http://schemas.microsoft.com/office/drawing/2014/main" id="{00000000-0008-0000-0000-000031010000}"/>
              </a:ext>
            </a:extLst>
          </xdr:cNvPr>
          <xdr:cNvSpPr txBox="1"/>
        </xdr:nvSpPr>
        <xdr:spPr>
          <a:xfrm>
            <a:off x="7860505" y="10473493"/>
            <a:ext cx="749554" cy="24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1E774D6D-D592-4DEB-BA80-21DECEF58798}" type="TxLink">
              <a:rPr lang="en-US" sz="1200" b="1" i="0" u="none" strike="noStrike">
                <a:solidFill>
                  <a:srgbClr val="002060"/>
                </a:solidFill>
                <a:latin typeface="Comic Sans MS" panose="030F0702030302020204" pitchFamily="66" charset="0"/>
                <a:ea typeface="Calibri"/>
                <a:cs typeface="Calibri"/>
              </a:rPr>
              <a:pPr marL="0" indent="0" algn="r"/>
              <a:t>₹2,19,375.00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38">
        <xdr:nvSpPr>
          <xdr:cNvPr id="306" name="TextBox 305">
            <a:extLst>
              <a:ext uri="{FF2B5EF4-FFF2-40B4-BE49-F238E27FC236}">
                <a16:creationId xmlns:a16="http://schemas.microsoft.com/office/drawing/2014/main" id="{00000000-0008-0000-0000-000032010000}"/>
              </a:ext>
            </a:extLst>
          </xdr:cNvPr>
          <xdr:cNvSpPr txBox="1"/>
        </xdr:nvSpPr>
        <xdr:spPr>
          <a:xfrm>
            <a:off x="7860505" y="11005651"/>
            <a:ext cx="749554" cy="376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8E6A6BCE-0D67-4999-B5D1-CA7F447B27F0}" type="TxLink">
              <a:rPr lang="en-US" sz="1200" b="1" i="0" u="none" strike="noStrike">
                <a:solidFill>
                  <a:srgbClr val="002060"/>
                </a:solidFill>
                <a:latin typeface="Comic Sans MS" panose="030F0702030302020204" pitchFamily="66" charset="0"/>
                <a:ea typeface="Calibri"/>
                <a:cs typeface="Calibri"/>
              </a:rPr>
              <a:pPr marL="0" indent="0" algn="r"/>
              <a:t>₹1,60,000.00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38">
        <xdr:nvSpPr>
          <xdr:cNvPr id="307" name="TextBox 306">
            <a:extLst>
              <a:ext uri="{FF2B5EF4-FFF2-40B4-BE49-F238E27FC236}">
                <a16:creationId xmlns:a16="http://schemas.microsoft.com/office/drawing/2014/main" id="{00000000-0008-0000-0000-000033010000}"/>
              </a:ext>
            </a:extLst>
          </xdr:cNvPr>
          <xdr:cNvSpPr txBox="1"/>
        </xdr:nvSpPr>
        <xdr:spPr>
          <a:xfrm>
            <a:off x="7860505" y="11546739"/>
            <a:ext cx="749554" cy="365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13FF5CD9-0D48-41EF-BFC0-54AD9F8BEB0B}" type="TxLink">
              <a:rPr lang="en-US" sz="1200" b="1" i="0" u="none" strike="noStrike">
                <a:solidFill>
                  <a:srgbClr val="002060"/>
                </a:solidFill>
                <a:latin typeface="Comic Sans MS" panose="030F0702030302020204" pitchFamily="66" charset="0"/>
                <a:ea typeface="Calibri"/>
                <a:cs typeface="Calibri"/>
              </a:rPr>
              <a:pPr marL="0" indent="0" algn="r"/>
              <a:t>₹59,375.00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308" name="Group 307">
            <a:extLst>
              <a:ext uri="{FF2B5EF4-FFF2-40B4-BE49-F238E27FC236}">
                <a16:creationId xmlns:a16="http://schemas.microsoft.com/office/drawing/2014/main" id="{00000000-0008-0000-0000-000034010000}"/>
              </a:ext>
            </a:extLst>
          </xdr:cNvPr>
          <xdr:cNvGrpSpPr/>
        </xdr:nvGrpSpPr>
        <xdr:grpSpPr>
          <a:xfrm>
            <a:off x="8547895" y="12038960"/>
            <a:ext cx="3496718" cy="1194222"/>
            <a:chOff x="1893241" y="7278982"/>
            <a:chExt cx="3509076" cy="1223521"/>
          </a:xfrm>
        </xdr:grpSpPr>
        <xdr:cxnSp macro="">
          <xdr:nvCxnSpPr>
            <xdr:cNvPr id="309" name="Straight Connector 308">
              <a:extLst>
                <a:ext uri="{FF2B5EF4-FFF2-40B4-BE49-F238E27FC236}">
                  <a16:creationId xmlns:a16="http://schemas.microsoft.com/office/drawing/2014/main" id="{00000000-0008-0000-0000-000035010000}"/>
                </a:ext>
              </a:extLst>
            </xdr:cNvPr>
            <xdr:cNvCxnSpPr/>
          </xdr:nvCxnSpPr>
          <xdr:spPr>
            <a:xfrm>
              <a:off x="3061913" y="7349537"/>
              <a:ext cx="4208" cy="112944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000-000036010000}"/>
                </a:ext>
              </a:extLst>
            </xdr:cNvPr>
            <xdr:cNvCxnSpPr/>
          </xdr:nvCxnSpPr>
          <xdr:spPr>
            <a:xfrm>
              <a:off x="4230586" y="7396574"/>
              <a:ext cx="2448" cy="1093728"/>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11" name="Straight Connector 310">
              <a:extLst>
                <a:ext uri="{FF2B5EF4-FFF2-40B4-BE49-F238E27FC236}">
                  <a16:creationId xmlns:a16="http://schemas.microsoft.com/office/drawing/2014/main" id="{00000000-0008-0000-0000-000037010000}"/>
                </a:ext>
              </a:extLst>
            </xdr:cNvPr>
            <xdr:cNvCxnSpPr/>
          </xdr:nvCxnSpPr>
          <xdr:spPr>
            <a:xfrm>
              <a:off x="5397500" y="7361296"/>
              <a:ext cx="4817" cy="109528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000-000038010000}"/>
                </a:ext>
              </a:extLst>
            </xdr:cNvPr>
            <xdr:cNvCxnSpPr/>
          </xdr:nvCxnSpPr>
          <xdr:spPr>
            <a:xfrm>
              <a:off x="1893241" y="7278982"/>
              <a:ext cx="4207" cy="122352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10</xdr:col>
      <xdr:colOff>306551</xdr:colOff>
      <xdr:row>78</xdr:row>
      <xdr:rowOff>25545</xdr:rowOff>
    </xdr:from>
    <xdr:to>
      <xdr:col>15</xdr:col>
      <xdr:colOff>560593</xdr:colOff>
      <xdr:row>102</xdr:row>
      <xdr:rowOff>58861</xdr:rowOff>
    </xdr:to>
    <xdr:grpSp>
      <xdr:nvGrpSpPr>
        <xdr:cNvPr id="344" name="Group 343">
          <a:extLst>
            <a:ext uri="{FF2B5EF4-FFF2-40B4-BE49-F238E27FC236}">
              <a16:creationId xmlns:a16="http://schemas.microsoft.com/office/drawing/2014/main" id="{00000000-0008-0000-0000-000058010000}"/>
            </a:ext>
          </a:extLst>
        </xdr:cNvPr>
        <xdr:cNvGrpSpPr/>
      </xdr:nvGrpSpPr>
      <xdr:grpSpPr>
        <a:xfrm>
          <a:off x="6853620" y="14542959"/>
          <a:ext cx="6155163" cy="4533057"/>
          <a:chOff x="353787" y="13762820"/>
          <a:chExt cx="6166483" cy="4455119"/>
        </a:xfrm>
      </xdr:grpSpPr>
      <xdr:grpSp>
        <xdr:nvGrpSpPr>
          <xdr:cNvPr id="345" name="Group 344">
            <a:extLst>
              <a:ext uri="{FF2B5EF4-FFF2-40B4-BE49-F238E27FC236}">
                <a16:creationId xmlns:a16="http://schemas.microsoft.com/office/drawing/2014/main" id="{00000000-0008-0000-0000-000059010000}"/>
              </a:ext>
            </a:extLst>
          </xdr:cNvPr>
          <xdr:cNvGrpSpPr/>
        </xdr:nvGrpSpPr>
        <xdr:grpSpPr>
          <a:xfrm>
            <a:off x="353787" y="13762820"/>
            <a:ext cx="6166483" cy="4455119"/>
            <a:chOff x="366114" y="4044658"/>
            <a:chExt cx="6144330" cy="4242691"/>
          </a:xfrm>
        </xdr:grpSpPr>
        <xdr:grpSp>
          <xdr:nvGrpSpPr>
            <xdr:cNvPr id="368" name="Group 367">
              <a:extLst>
                <a:ext uri="{FF2B5EF4-FFF2-40B4-BE49-F238E27FC236}">
                  <a16:creationId xmlns:a16="http://schemas.microsoft.com/office/drawing/2014/main" id="{00000000-0008-0000-0000-000070010000}"/>
                </a:ext>
              </a:extLst>
            </xdr:cNvPr>
            <xdr:cNvGrpSpPr/>
          </xdr:nvGrpSpPr>
          <xdr:grpSpPr>
            <a:xfrm>
              <a:off x="366114" y="4044658"/>
              <a:ext cx="6144330" cy="4242691"/>
              <a:chOff x="344766" y="4265803"/>
              <a:chExt cx="6055631" cy="4281497"/>
            </a:xfrm>
          </xdr:grpSpPr>
          <xdr:grpSp>
            <xdr:nvGrpSpPr>
              <xdr:cNvPr id="374" name="Group 373">
                <a:extLst>
                  <a:ext uri="{FF2B5EF4-FFF2-40B4-BE49-F238E27FC236}">
                    <a16:creationId xmlns:a16="http://schemas.microsoft.com/office/drawing/2014/main" id="{00000000-0008-0000-0000-000076010000}"/>
                  </a:ext>
                </a:extLst>
              </xdr:cNvPr>
              <xdr:cNvGrpSpPr>
                <a:grpSpLocks/>
              </xdr:cNvGrpSpPr>
            </xdr:nvGrpSpPr>
            <xdr:grpSpPr>
              <a:xfrm>
                <a:off x="344766" y="4265803"/>
                <a:ext cx="6055631" cy="4281497"/>
                <a:chOff x="4615628" y="16240128"/>
                <a:chExt cx="5388081" cy="4325192"/>
              </a:xfrm>
            </xdr:grpSpPr>
            <xdr:sp macro="" textlink="">
              <xdr:nvSpPr>
                <xdr:cNvPr id="383" name="Rectangle 382">
                  <a:extLst>
                    <a:ext uri="{FF2B5EF4-FFF2-40B4-BE49-F238E27FC236}">
                      <a16:creationId xmlns:a16="http://schemas.microsoft.com/office/drawing/2014/main" id="{00000000-0008-0000-0000-00007F01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84" name="Group 383">
                  <a:extLst>
                    <a:ext uri="{FF2B5EF4-FFF2-40B4-BE49-F238E27FC236}">
                      <a16:creationId xmlns:a16="http://schemas.microsoft.com/office/drawing/2014/main" id="{00000000-0008-0000-0000-000080010000}"/>
                    </a:ext>
                  </a:extLst>
                </xdr:cNvPr>
                <xdr:cNvGrpSpPr/>
              </xdr:nvGrpSpPr>
              <xdr:grpSpPr>
                <a:xfrm>
                  <a:off x="4615628" y="16240128"/>
                  <a:ext cx="5388081" cy="4325192"/>
                  <a:chOff x="4615628" y="16240128"/>
                  <a:chExt cx="5388081" cy="4325192"/>
                </a:xfrm>
              </xdr:grpSpPr>
              <xdr:sp macro="" textlink="">
                <xdr:nvSpPr>
                  <xdr:cNvPr id="393" name="Rectangle: Rounded Corners 392">
                    <a:extLst>
                      <a:ext uri="{FF2B5EF4-FFF2-40B4-BE49-F238E27FC236}">
                        <a16:creationId xmlns:a16="http://schemas.microsoft.com/office/drawing/2014/main" id="{00000000-0008-0000-0000-00008901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94" name="Group 393">
                    <a:extLst>
                      <a:ext uri="{FF2B5EF4-FFF2-40B4-BE49-F238E27FC236}">
                        <a16:creationId xmlns:a16="http://schemas.microsoft.com/office/drawing/2014/main" id="{00000000-0008-0000-0000-00008A010000}"/>
                      </a:ext>
                    </a:extLst>
                  </xdr:cNvPr>
                  <xdr:cNvGrpSpPr/>
                </xdr:nvGrpSpPr>
                <xdr:grpSpPr>
                  <a:xfrm>
                    <a:off x="4615628" y="16240128"/>
                    <a:ext cx="5388081" cy="4325192"/>
                    <a:chOff x="4615628" y="16240128"/>
                    <a:chExt cx="5388081" cy="4325192"/>
                  </a:xfrm>
                </xdr:grpSpPr>
                <xdr:sp macro="" textlink="">
                  <xdr:nvSpPr>
                    <xdr:cNvPr id="396" name="TextBox 395">
                      <a:extLst>
                        <a:ext uri="{FF2B5EF4-FFF2-40B4-BE49-F238E27FC236}">
                          <a16:creationId xmlns:a16="http://schemas.microsoft.com/office/drawing/2014/main" id="{00000000-0008-0000-0000-00008C010000}"/>
                        </a:ext>
                      </a:extLst>
                    </xdr:cNvPr>
                    <xdr:cNvSpPr txBox="1"/>
                  </xdr:nvSpPr>
                  <xdr:spPr>
                    <a:xfrm rot="10800000">
                      <a:off x="4616920" y="19139810"/>
                      <a:ext cx="5386535" cy="142551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397" name="TextBox 396">
                      <a:extLst>
                        <a:ext uri="{FF2B5EF4-FFF2-40B4-BE49-F238E27FC236}">
                          <a16:creationId xmlns:a16="http://schemas.microsoft.com/office/drawing/2014/main" id="{00000000-0008-0000-0000-00008D010000}"/>
                        </a:ext>
                      </a:extLst>
                    </xdr:cNvPr>
                    <xdr:cNvSpPr txBox="1"/>
                  </xdr:nvSpPr>
                  <xdr:spPr>
                    <a:xfrm rot="5400000">
                      <a:off x="8531448" y="18482441"/>
                      <a:ext cx="2853472" cy="87824"/>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398" name="TextBox 397">
                      <a:extLst>
                        <a:ext uri="{FF2B5EF4-FFF2-40B4-BE49-F238E27FC236}">
                          <a16:creationId xmlns:a16="http://schemas.microsoft.com/office/drawing/2014/main" id="{00000000-0008-0000-0000-00008E010000}"/>
                        </a:ext>
                      </a:extLst>
                    </xdr:cNvPr>
                    <xdr:cNvSpPr txBox="1"/>
                  </xdr:nvSpPr>
                  <xdr:spPr>
                    <a:xfrm>
                      <a:off x="4615628" y="16240128"/>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399" name="Rectangle 398">
                      <a:extLst>
                        <a:ext uri="{FF2B5EF4-FFF2-40B4-BE49-F238E27FC236}">
                          <a16:creationId xmlns:a16="http://schemas.microsoft.com/office/drawing/2014/main" id="{00000000-0008-0000-0000-00008F010000}"/>
                        </a:ext>
                      </a:extLst>
                    </xdr:cNvPr>
                    <xdr:cNvSpPr/>
                  </xdr:nvSpPr>
                  <xdr:spPr>
                    <a:xfrm>
                      <a:off x="4617489" y="17304469"/>
                      <a:ext cx="1552109" cy="2531057"/>
                    </a:xfrm>
                    <a:prstGeom prst="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395" name="Rectangle: Rounded Corners 394">
                    <a:extLst>
                      <a:ext uri="{FF2B5EF4-FFF2-40B4-BE49-F238E27FC236}">
                        <a16:creationId xmlns:a16="http://schemas.microsoft.com/office/drawing/2014/main" id="{00000000-0008-0000-0000-00008B01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385" name="Rectangle: Rounded Corners 384">
                  <a:extLst>
                    <a:ext uri="{FF2B5EF4-FFF2-40B4-BE49-F238E27FC236}">
                      <a16:creationId xmlns:a16="http://schemas.microsoft.com/office/drawing/2014/main" id="{00000000-0008-0000-0000-00008101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6" name="Rectangle: Rounded Corners 385">
                  <a:extLst>
                    <a:ext uri="{FF2B5EF4-FFF2-40B4-BE49-F238E27FC236}">
                      <a16:creationId xmlns:a16="http://schemas.microsoft.com/office/drawing/2014/main" id="{00000000-0008-0000-0000-00008201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87" name="Rectangle: Rounded Corners 386">
                  <a:extLst>
                    <a:ext uri="{FF2B5EF4-FFF2-40B4-BE49-F238E27FC236}">
                      <a16:creationId xmlns:a16="http://schemas.microsoft.com/office/drawing/2014/main" id="{00000000-0008-0000-0000-000083010000}"/>
                    </a:ext>
                  </a:extLst>
                </xdr:cNvPr>
                <xdr:cNvSpPr/>
              </xdr:nvSpPr>
              <xdr:spPr>
                <a:xfrm rot="5400000">
                  <a:off x="8870548" y="15982322"/>
                  <a:ext cx="353308" cy="16798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8" name="TextBox 387">
                  <a:extLst>
                    <a:ext uri="{FF2B5EF4-FFF2-40B4-BE49-F238E27FC236}">
                      <a16:creationId xmlns:a16="http://schemas.microsoft.com/office/drawing/2014/main" id="{00000000-0008-0000-0000-00008401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389" name="TextBox 388">
                  <a:extLst>
                    <a:ext uri="{FF2B5EF4-FFF2-40B4-BE49-F238E27FC236}">
                      <a16:creationId xmlns:a16="http://schemas.microsoft.com/office/drawing/2014/main" id="{00000000-0008-0000-0000-000085010000}"/>
                    </a:ext>
                  </a:extLst>
                </xdr:cNvPr>
                <xdr:cNvSpPr txBox="1"/>
              </xdr:nvSpPr>
              <xdr:spPr>
                <a:xfrm>
                  <a:off x="5296264" y="1863049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390" name="TextBox 389">
                  <a:extLst>
                    <a:ext uri="{FF2B5EF4-FFF2-40B4-BE49-F238E27FC236}">
                      <a16:creationId xmlns:a16="http://schemas.microsoft.com/office/drawing/2014/main" id="{00000000-0008-0000-0000-000086010000}"/>
                    </a:ext>
                  </a:extLst>
                </xdr:cNvPr>
                <xdr:cNvSpPr txBox="1"/>
              </xdr:nvSpPr>
              <xdr:spPr>
                <a:xfrm>
                  <a:off x="4912686" y="17471740"/>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391" name="Rectangle: Rounded Corners 390">
                  <a:extLst>
                    <a:ext uri="{FF2B5EF4-FFF2-40B4-BE49-F238E27FC236}">
                      <a16:creationId xmlns:a16="http://schemas.microsoft.com/office/drawing/2014/main" id="{00000000-0008-0000-0000-00008701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92" name="Rectangle: Rounded Corners 391">
                  <a:extLst>
                    <a:ext uri="{FF2B5EF4-FFF2-40B4-BE49-F238E27FC236}">
                      <a16:creationId xmlns:a16="http://schemas.microsoft.com/office/drawing/2014/main" id="{00000000-0008-0000-0000-000088010000}"/>
                    </a:ext>
                  </a:extLst>
                </xdr:cNvPr>
                <xdr:cNvSpPr/>
              </xdr:nvSpPr>
              <xdr:spPr>
                <a:xfrm rot="5400000">
                  <a:off x="6913357" y="15991553"/>
                  <a:ext cx="324971" cy="16798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375" name="Group 374">
                <a:extLst>
                  <a:ext uri="{FF2B5EF4-FFF2-40B4-BE49-F238E27FC236}">
                    <a16:creationId xmlns:a16="http://schemas.microsoft.com/office/drawing/2014/main" id="{00000000-0008-0000-0000-000077010000}"/>
                  </a:ext>
                </a:extLst>
              </xdr:cNvPr>
              <xdr:cNvGrpSpPr/>
            </xdr:nvGrpSpPr>
            <xdr:grpSpPr>
              <a:xfrm>
                <a:off x="483811" y="7299688"/>
                <a:ext cx="5557778" cy="914201"/>
                <a:chOff x="483811" y="7299688"/>
                <a:chExt cx="5557778" cy="914201"/>
              </a:xfrm>
            </xdr:grpSpPr>
            <xdr:sp macro="" textlink="">
              <xdr:nvSpPr>
                <xdr:cNvPr id="376" name="TextBox 375">
                  <a:extLst>
                    <a:ext uri="{FF2B5EF4-FFF2-40B4-BE49-F238E27FC236}">
                      <a16:creationId xmlns:a16="http://schemas.microsoft.com/office/drawing/2014/main" id="{00000000-0008-0000-0000-00007801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377" name="TextBox 376">
                  <a:extLst>
                    <a:ext uri="{FF2B5EF4-FFF2-40B4-BE49-F238E27FC236}">
                      <a16:creationId xmlns:a16="http://schemas.microsoft.com/office/drawing/2014/main" id="{00000000-0008-0000-0000-00007901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378" name="TextBox 377">
                  <a:extLst>
                    <a:ext uri="{FF2B5EF4-FFF2-40B4-BE49-F238E27FC236}">
                      <a16:creationId xmlns:a16="http://schemas.microsoft.com/office/drawing/2014/main" id="{00000000-0008-0000-0000-00007A01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379" name="TextBox 378">
                  <a:extLst>
                    <a:ext uri="{FF2B5EF4-FFF2-40B4-BE49-F238E27FC236}">
                      <a16:creationId xmlns:a16="http://schemas.microsoft.com/office/drawing/2014/main" id="{00000000-0008-0000-0000-00007B01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380" name="TextBox 379">
                  <a:extLst>
                    <a:ext uri="{FF2B5EF4-FFF2-40B4-BE49-F238E27FC236}">
                      <a16:creationId xmlns:a16="http://schemas.microsoft.com/office/drawing/2014/main" id="{00000000-0008-0000-0000-00007C01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381" name="TextBox 380">
                  <a:extLst>
                    <a:ext uri="{FF2B5EF4-FFF2-40B4-BE49-F238E27FC236}">
                      <a16:creationId xmlns:a16="http://schemas.microsoft.com/office/drawing/2014/main" id="{00000000-0008-0000-0000-00007D01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382" name="TextBox 381">
                  <a:extLst>
                    <a:ext uri="{FF2B5EF4-FFF2-40B4-BE49-F238E27FC236}">
                      <a16:creationId xmlns:a16="http://schemas.microsoft.com/office/drawing/2014/main" id="{00000000-0008-0000-0000-00007E01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cxnSp macro="">
          <xdr:nvCxnSpPr>
            <xdr:cNvPr id="369" name="Straight Connector 368">
              <a:extLst>
                <a:ext uri="{FF2B5EF4-FFF2-40B4-BE49-F238E27FC236}">
                  <a16:creationId xmlns:a16="http://schemas.microsoft.com/office/drawing/2014/main" id="{00000000-0008-0000-0000-000071010000}"/>
                </a:ext>
              </a:extLst>
            </xdr:cNvPr>
            <xdr:cNvCxnSpPr/>
          </xdr:nvCxnSpPr>
          <xdr:spPr>
            <a:xfrm>
              <a:off x="2876881" y="4343963"/>
              <a:ext cx="1786" cy="529662"/>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000-000072010000}"/>
                </a:ext>
              </a:extLst>
            </xdr:cNvPr>
            <xdr:cNvCxnSpPr/>
          </xdr:nvCxnSpPr>
          <xdr:spPr>
            <a:xfrm>
              <a:off x="3480220" y="4336312"/>
              <a:ext cx="7651" cy="52330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sp macro="" textlink="">
          <xdr:nvSpPr>
            <xdr:cNvPr id="371" name="TextBox 370">
              <a:extLst>
                <a:ext uri="{FF2B5EF4-FFF2-40B4-BE49-F238E27FC236}">
                  <a16:creationId xmlns:a16="http://schemas.microsoft.com/office/drawing/2014/main" id="{00000000-0008-0000-0000-000073010000}"/>
                </a:ext>
              </a:extLst>
            </xdr:cNvPr>
            <xdr:cNvSpPr txBox="1"/>
          </xdr:nvSpPr>
          <xdr:spPr>
            <a:xfrm>
              <a:off x="2281697" y="4308525"/>
              <a:ext cx="606871" cy="168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372" name="TextBox 371">
              <a:extLst>
                <a:ext uri="{FF2B5EF4-FFF2-40B4-BE49-F238E27FC236}">
                  <a16:creationId xmlns:a16="http://schemas.microsoft.com/office/drawing/2014/main" id="{00000000-0008-0000-0000-000074010000}"/>
                </a:ext>
              </a:extLst>
            </xdr:cNvPr>
            <xdr:cNvSpPr txBox="1"/>
          </xdr:nvSpPr>
          <xdr:spPr>
            <a:xfrm>
              <a:off x="2904443" y="4314007"/>
              <a:ext cx="516670" cy="157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373" name="TextBox 372">
              <a:extLst>
                <a:ext uri="{FF2B5EF4-FFF2-40B4-BE49-F238E27FC236}">
                  <a16:creationId xmlns:a16="http://schemas.microsoft.com/office/drawing/2014/main" id="{00000000-0008-0000-0000-000075010000}"/>
                </a:ext>
              </a:extLst>
            </xdr:cNvPr>
            <xdr:cNvSpPr txBox="1"/>
          </xdr:nvSpPr>
          <xdr:spPr>
            <a:xfrm>
              <a:off x="3300723" y="4282783"/>
              <a:ext cx="664298" cy="2197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346" name="TextBox 345">
            <a:extLst>
              <a:ext uri="{FF2B5EF4-FFF2-40B4-BE49-F238E27FC236}">
                <a16:creationId xmlns:a16="http://schemas.microsoft.com/office/drawing/2014/main" id="{00000000-0008-0000-0000-00005A010000}"/>
              </a:ext>
            </a:extLst>
          </xdr:cNvPr>
          <xdr:cNvSpPr txBox="1"/>
        </xdr:nvSpPr>
        <xdr:spPr>
          <a:xfrm>
            <a:off x="385518" y="13940497"/>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V</a:t>
            </a:r>
            <a:endParaRPr lang="en-IN" sz="3100" b="1" i="0" spc="200" baseline="0">
              <a:solidFill>
                <a:schemeClr val="bg1"/>
              </a:solidFill>
              <a:latin typeface="Calisto MT" panose="02040603050505030304" pitchFamily="18" charset="0"/>
            </a:endParaRPr>
          </a:p>
        </xdr:txBody>
      </xdr:sp>
      <xdr:sp macro="" textlink="FinalAnalysis!C67">
        <xdr:nvSpPr>
          <xdr:cNvPr id="347" name="TextBox 346">
            <a:extLst>
              <a:ext uri="{FF2B5EF4-FFF2-40B4-BE49-F238E27FC236}">
                <a16:creationId xmlns:a16="http://schemas.microsoft.com/office/drawing/2014/main" id="{00000000-0008-0000-0000-00005B010000}"/>
              </a:ext>
            </a:extLst>
          </xdr:cNvPr>
          <xdr:cNvSpPr txBox="1"/>
        </xdr:nvSpPr>
        <xdr:spPr>
          <a:xfrm>
            <a:off x="1971404" y="1734802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FD6DF30-4003-44CE-A87D-8962AD2A146E}" type="TxLink">
              <a:rPr lang="en-US" sz="1200" b="1" i="0" u="none" strike="noStrike">
                <a:solidFill>
                  <a:srgbClr val="002060"/>
                </a:solidFill>
                <a:latin typeface="Comic Sans MS" panose="030F0702030302020204" pitchFamily="66" charset="0"/>
                <a:ea typeface="Calibri"/>
                <a:cs typeface="Calibri"/>
              </a:rPr>
              <a:pPr marL="0" indent="0" algn="r"/>
              <a:t>₹ 50,000.00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7">
        <xdr:nvSpPr>
          <xdr:cNvPr id="348" name="TextBox 347">
            <a:extLst>
              <a:ext uri="{FF2B5EF4-FFF2-40B4-BE49-F238E27FC236}">
                <a16:creationId xmlns:a16="http://schemas.microsoft.com/office/drawing/2014/main" id="{00000000-0008-0000-0000-00005C010000}"/>
              </a:ext>
            </a:extLst>
          </xdr:cNvPr>
          <xdr:cNvSpPr txBox="1"/>
        </xdr:nvSpPr>
        <xdr:spPr>
          <a:xfrm>
            <a:off x="3085483" y="1736038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21D004D5-DE36-4B82-855F-7F1D93E2BEEA}" type="TxLink">
              <a:rPr lang="en-US" sz="1200" b="1" i="0" u="none" strike="noStrike">
                <a:solidFill>
                  <a:srgbClr val="002060"/>
                </a:solidFill>
                <a:latin typeface="Comic Sans MS" panose="030F0702030302020204" pitchFamily="66" charset="0"/>
                <a:ea typeface="Calibri"/>
                <a:cs typeface="Calibri"/>
              </a:rPr>
              <a:pPr marL="0" indent="0" algn="r"/>
              <a:t>₹ 10,500.00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7">
        <xdr:nvSpPr>
          <xdr:cNvPr id="349" name="TextBox 348">
            <a:extLst>
              <a:ext uri="{FF2B5EF4-FFF2-40B4-BE49-F238E27FC236}">
                <a16:creationId xmlns:a16="http://schemas.microsoft.com/office/drawing/2014/main" id="{00000000-0008-0000-0000-00005D010000}"/>
              </a:ext>
            </a:extLst>
          </xdr:cNvPr>
          <xdr:cNvSpPr txBox="1"/>
        </xdr:nvSpPr>
        <xdr:spPr>
          <a:xfrm>
            <a:off x="4171718" y="1735398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044FF7C3-8A85-4FE8-82FE-7D9AD0DC3B60}" type="TxLink">
              <a:rPr lang="en-US" sz="1200" b="1" i="0" u="none" strike="noStrike">
                <a:solidFill>
                  <a:srgbClr val="002060"/>
                </a:solidFill>
                <a:latin typeface="Comic Sans MS" panose="030F0702030302020204" pitchFamily="66" charset="0"/>
                <a:ea typeface="Calibri"/>
                <a:cs typeface="Calibri"/>
              </a:rPr>
              <a:pPr marL="0" indent="0" algn="r"/>
              <a:t>₹ 5,500.00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7">
        <xdr:nvSpPr>
          <xdr:cNvPr id="350" name="TextBox 349">
            <a:extLst>
              <a:ext uri="{FF2B5EF4-FFF2-40B4-BE49-F238E27FC236}">
                <a16:creationId xmlns:a16="http://schemas.microsoft.com/office/drawing/2014/main" id="{00000000-0008-0000-0000-00005E010000}"/>
              </a:ext>
            </a:extLst>
          </xdr:cNvPr>
          <xdr:cNvSpPr txBox="1"/>
        </xdr:nvSpPr>
        <xdr:spPr>
          <a:xfrm>
            <a:off x="5324645" y="1735030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F24AF07-C463-4369-9279-79CE94A85093}" type="TxLink">
              <a:rPr lang="en-US" sz="1200" b="1" i="0" u="none" strike="noStrike">
                <a:solidFill>
                  <a:srgbClr val="002060"/>
                </a:solidFill>
                <a:latin typeface="Comic Sans MS" panose="030F0702030302020204" pitchFamily="66" charset="0"/>
                <a:ea typeface="Calibri"/>
                <a:cs typeface="Calibri"/>
              </a:rPr>
              <a:pPr marL="0" indent="0" algn="r"/>
              <a:t>₹ 63,050.00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7">
        <xdr:nvSpPr>
          <xdr:cNvPr id="351" name="TextBox 350">
            <a:extLst>
              <a:ext uri="{FF2B5EF4-FFF2-40B4-BE49-F238E27FC236}">
                <a16:creationId xmlns:a16="http://schemas.microsoft.com/office/drawing/2014/main" id="{00000000-0008-0000-0000-00005F010000}"/>
              </a:ext>
            </a:extLst>
          </xdr:cNvPr>
          <xdr:cNvSpPr txBox="1"/>
        </xdr:nvSpPr>
        <xdr:spPr>
          <a:xfrm>
            <a:off x="1971404" y="1763036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26A7884-96E1-4EBF-BBF2-BB45551A327D}" type="TxLink">
              <a:rPr lang="en-US" sz="1200" b="1" i="0" u="none" strike="noStrike">
                <a:solidFill>
                  <a:srgbClr val="002060"/>
                </a:solidFill>
                <a:latin typeface="Comic Sans MS" panose="030F0702030302020204" pitchFamily="66" charset="0"/>
                <a:ea typeface="Calibri"/>
                <a:cs typeface="Calibri"/>
              </a:rPr>
              <a:pPr marL="0" indent="0" algn="r"/>
              <a:t>-₹ 7,500.00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7">
        <xdr:nvSpPr>
          <xdr:cNvPr id="352" name="TextBox 351">
            <a:extLst>
              <a:ext uri="{FF2B5EF4-FFF2-40B4-BE49-F238E27FC236}">
                <a16:creationId xmlns:a16="http://schemas.microsoft.com/office/drawing/2014/main" id="{00000000-0008-0000-0000-000060010000}"/>
              </a:ext>
            </a:extLst>
          </xdr:cNvPr>
          <xdr:cNvSpPr txBox="1"/>
        </xdr:nvSpPr>
        <xdr:spPr>
          <a:xfrm>
            <a:off x="3075403" y="1764500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C26F040-38CF-4B83-AD6A-855F3AAE8A4F}" type="TxLink">
              <a:rPr lang="en-US" sz="1200" b="1" i="0" u="none" strike="noStrike">
                <a:solidFill>
                  <a:srgbClr val="002060"/>
                </a:solidFill>
                <a:latin typeface="Comic Sans MS" panose="030F0702030302020204" pitchFamily="66" charset="0"/>
                <a:ea typeface="Calibri"/>
                <a:cs typeface="Calibri"/>
              </a:rPr>
              <a:pPr marL="0" indent="0" algn="r"/>
              <a:t>₹ 5,500.00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7">
        <xdr:nvSpPr>
          <xdr:cNvPr id="353" name="TextBox 352">
            <a:extLst>
              <a:ext uri="{FF2B5EF4-FFF2-40B4-BE49-F238E27FC236}">
                <a16:creationId xmlns:a16="http://schemas.microsoft.com/office/drawing/2014/main" id="{00000000-0008-0000-0000-000061010000}"/>
              </a:ext>
            </a:extLst>
          </xdr:cNvPr>
          <xdr:cNvSpPr txBox="1"/>
        </xdr:nvSpPr>
        <xdr:spPr>
          <a:xfrm>
            <a:off x="4171718" y="1763860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7007DBC-AC2C-4366-88A7-FD0A3BB8DB2C}" type="TxLink">
              <a:rPr lang="en-US" sz="1200" b="1" i="0" u="none" strike="noStrike">
                <a:solidFill>
                  <a:srgbClr val="002060"/>
                </a:solidFill>
                <a:latin typeface="Comic Sans MS" panose="030F0702030302020204" pitchFamily="66" charset="0"/>
                <a:ea typeface="Calibri"/>
                <a:cs typeface="Calibri"/>
              </a:rPr>
              <a:pPr marL="0" indent="0" algn="r"/>
              <a:t>₹ 2,500.00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7">
        <xdr:nvSpPr>
          <xdr:cNvPr id="354" name="TextBox 353">
            <a:extLst>
              <a:ext uri="{FF2B5EF4-FFF2-40B4-BE49-F238E27FC236}">
                <a16:creationId xmlns:a16="http://schemas.microsoft.com/office/drawing/2014/main" id="{00000000-0008-0000-0000-000062010000}"/>
              </a:ext>
            </a:extLst>
          </xdr:cNvPr>
          <xdr:cNvSpPr txBox="1"/>
        </xdr:nvSpPr>
        <xdr:spPr>
          <a:xfrm>
            <a:off x="5314565" y="1763492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0EB6B41-C4E9-418E-9391-7EB2A9072819}" type="TxLink">
              <a:rPr lang="en-US" sz="1200" b="1" i="0" u="none" strike="noStrike">
                <a:solidFill>
                  <a:srgbClr val="002060"/>
                </a:solidFill>
                <a:latin typeface="Comic Sans MS" panose="030F0702030302020204" pitchFamily="66" charset="0"/>
                <a:ea typeface="Calibri"/>
                <a:cs typeface="Calibri"/>
              </a:rPr>
              <a:pPr marL="0" indent="0" algn="r"/>
              <a:t>₹ 83,950.00</a:t>
            </a:fld>
            <a:endParaRPr lang="en-US" sz="1200" b="1" i="0" u="none" strike="noStrike">
              <a:solidFill>
                <a:srgbClr val="002060"/>
              </a:solidFill>
              <a:latin typeface="Comic Sans MS" panose="030F0702030302020204" pitchFamily="66" charset="0"/>
              <a:ea typeface="+mn-ea"/>
              <a:cs typeface="+mn-cs"/>
            </a:endParaRPr>
          </a:p>
        </xdr:txBody>
      </xdr:sp>
      <xdr:sp macro="" textlink="">
        <xdr:nvSpPr>
          <xdr:cNvPr id="355" name="TextBox 354">
            <a:extLst>
              <a:ext uri="{FF2B5EF4-FFF2-40B4-BE49-F238E27FC236}">
                <a16:creationId xmlns:a16="http://schemas.microsoft.com/office/drawing/2014/main" id="{00000000-0008-0000-0000-000063010000}"/>
              </a:ext>
            </a:extLst>
          </xdr:cNvPr>
          <xdr:cNvSpPr txBox="1"/>
        </xdr:nvSpPr>
        <xdr:spPr>
          <a:xfrm>
            <a:off x="5595982" y="14305435"/>
            <a:ext cx="693601" cy="295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C30">
        <xdr:nvSpPr>
          <xdr:cNvPr id="356" name="TextBox 355">
            <a:extLst>
              <a:ext uri="{FF2B5EF4-FFF2-40B4-BE49-F238E27FC236}">
                <a16:creationId xmlns:a16="http://schemas.microsoft.com/office/drawing/2014/main" id="{00000000-0008-0000-0000-000064010000}"/>
              </a:ext>
            </a:extLst>
          </xdr:cNvPr>
          <xdr:cNvSpPr txBox="1"/>
        </xdr:nvSpPr>
        <xdr:spPr>
          <a:xfrm>
            <a:off x="4533960" y="14141164"/>
            <a:ext cx="681792" cy="263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3FE47E4F-C389-4C38-9E30-1CEB3C8482EC}"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FinalAnalysis!J40">
        <xdr:nvSpPr>
          <xdr:cNvPr id="357" name="TextBox 356">
            <a:extLst>
              <a:ext uri="{FF2B5EF4-FFF2-40B4-BE49-F238E27FC236}">
                <a16:creationId xmlns:a16="http://schemas.microsoft.com/office/drawing/2014/main" id="{00000000-0008-0000-0000-000065010000}"/>
              </a:ext>
            </a:extLst>
          </xdr:cNvPr>
          <xdr:cNvSpPr txBox="1"/>
        </xdr:nvSpPr>
        <xdr:spPr>
          <a:xfrm>
            <a:off x="2410888" y="14234063"/>
            <a:ext cx="326494" cy="259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B73063C7-8150-4C93-9C4D-29F9EE168248}" type="TxLink">
              <a:rPr lang="en-US" sz="1600" b="1" i="0" u="none" strike="noStrike">
                <a:solidFill>
                  <a:srgbClr val="002060"/>
                </a:solidFill>
                <a:latin typeface="Comic Sans MS" panose="030F0702030302020204" pitchFamily="66" charset="0"/>
                <a:ea typeface="+mn-ea"/>
                <a:cs typeface="+mn-cs"/>
              </a:rPr>
              <a:pPr marL="0" indent="0" algn="r"/>
              <a:t>8</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40">
        <xdr:nvSpPr>
          <xdr:cNvPr id="358" name="TextBox 357">
            <a:extLst>
              <a:ext uri="{FF2B5EF4-FFF2-40B4-BE49-F238E27FC236}">
                <a16:creationId xmlns:a16="http://schemas.microsoft.com/office/drawing/2014/main" id="{00000000-0008-0000-0000-000066010000}"/>
              </a:ext>
            </a:extLst>
          </xdr:cNvPr>
          <xdr:cNvSpPr txBox="1"/>
        </xdr:nvSpPr>
        <xdr:spPr>
          <a:xfrm>
            <a:off x="2996500" y="14235889"/>
            <a:ext cx="335055" cy="2775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3EE5D9DC-6273-4869-9ED3-F099F78B106C}" type="TxLink">
              <a:rPr lang="en-US" sz="1100" b="1" i="0" u="none" strike="noStrike">
                <a:solidFill>
                  <a:srgbClr val="002060"/>
                </a:solidFill>
                <a:latin typeface="Comic Sans MS" panose="030F0702030302020204" pitchFamily="66" charset="0"/>
                <a:ea typeface="+mn-ea"/>
                <a:cs typeface="+mn-cs"/>
              </a:rPr>
              <a:pPr marL="0" indent="0" algn="r"/>
              <a:t>2</a:t>
            </a:fld>
            <a:endParaRPr lang="en-IN" sz="1100" b="1" i="0" u="none" strike="noStrike">
              <a:solidFill>
                <a:srgbClr val="002060"/>
              </a:solidFill>
              <a:latin typeface="Comic Sans MS" panose="030F0702030302020204" pitchFamily="66" charset="0"/>
              <a:ea typeface="+mn-ea"/>
              <a:cs typeface="+mn-cs"/>
            </a:endParaRPr>
          </a:p>
        </xdr:txBody>
      </xdr:sp>
      <xdr:sp macro="" textlink="FinalAnalysis!I40">
        <xdr:nvSpPr>
          <xdr:cNvPr id="359" name="TextBox 358">
            <a:extLst>
              <a:ext uri="{FF2B5EF4-FFF2-40B4-BE49-F238E27FC236}">
                <a16:creationId xmlns:a16="http://schemas.microsoft.com/office/drawing/2014/main" id="{00000000-0008-0000-0000-000067010000}"/>
              </a:ext>
            </a:extLst>
          </xdr:cNvPr>
          <xdr:cNvSpPr txBox="1"/>
        </xdr:nvSpPr>
        <xdr:spPr>
          <a:xfrm>
            <a:off x="3562319" y="14234062"/>
            <a:ext cx="315912" cy="259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9BA6B87C-40A4-4A35-A390-B820F89DB287}" type="TxLink">
              <a:rPr lang="en-US" sz="1100" b="1" i="0" u="none" strike="noStrike">
                <a:solidFill>
                  <a:srgbClr val="002060"/>
                </a:solidFill>
                <a:latin typeface="Comic Sans MS" panose="030F0702030302020204" pitchFamily="66" charset="0"/>
                <a:ea typeface="+mn-ea"/>
                <a:cs typeface="+mn-cs"/>
              </a:rPr>
              <a:pPr marL="0" indent="0" algn="r"/>
              <a:t>6</a:t>
            </a:fld>
            <a:endParaRPr lang="en-IN" sz="1100" b="1" i="0" u="none" strike="noStrike">
              <a:solidFill>
                <a:srgbClr val="002060"/>
              </a:solidFill>
              <a:latin typeface="Comic Sans MS" panose="030F0702030302020204" pitchFamily="66" charset="0"/>
              <a:ea typeface="+mn-ea"/>
              <a:cs typeface="+mn-cs"/>
            </a:endParaRPr>
          </a:p>
        </xdr:txBody>
      </xdr:sp>
      <xdr:sp macro="" textlink="FinalAnalysis!D40">
        <xdr:nvSpPr>
          <xdr:cNvPr id="360" name="TextBox 359">
            <a:extLst>
              <a:ext uri="{FF2B5EF4-FFF2-40B4-BE49-F238E27FC236}">
                <a16:creationId xmlns:a16="http://schemas.microsoft.com/office/drawing/2014/main" id="{00000000-0008-0000-0000-000068010000}"/>
              </a:ext>
            </a:extLst>
          </xdr:cNvPr>
          <xdr:cNvSpPr txBox="1"/>
        </xdr:nvSpPr>
        <xdr:spPr>
          <a:xfrm>
            <a:off x="1363685" y="15294712"/>
            <a:ext cx="746914" cy="24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1E573B77-5EC6-4B50-8D8C-1A88C060A16A}" type="TxLink">
              <a:rPr lang="en-US" sz="1200" b="1" i="0" u="none" strike="noStrike">
                <a:solidFill>
                  <a:srgbClr val="002060"/>
                </a:solidFill>
                <a:latin typeface="Comic Sans MS" panose="030F0702030302020204" pitchFamily="66" charset="0"/>
                <a:ea typeface="Calibri"/>
                <a:cs typeface="Calibri"/>
              </a:rPr>
              <a:pPr marL="0" indent="0" algn="r"/>
              <a:t>₹1,71,500.00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40">
        <xdr:nvSpPr>
          <xdr:cNvPr id="361" name="TextBox 360">
            <a:extLst>
              <a:ext uri="{FF2B5EF4-FFF2-40B4-BE49-F238E27FC236}">
                <a16:creationId xmlns:a16="http://schemas.microsoft.com/office/drawing/2014/main" id="{00000000-0008-0000-0000-000069010000}"/>
              </a:ext>
            </a:extLst>
          </xdr:cNvPr>
          <xdr:cNvSpPr txBox="1"/>
        </xdr:nvSpPr>
        <xdr:spPr>
          <a:xfrm>
            <a:off x="1377987" y="15802112"/>
            <a:ext cx="746914" cy="415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814C5B93-4B1B-46C3-BB3A-9DB475D26A13}" type="TxLink">
              <a:rPr lang="en-US" sz="1200" b="1" i="0" u="none" strike="noStrike">
                <a:solidFill>
                  <a:srgbClr val="002060"/>
                </a:solidFill>
                <a:latin typeface="Comic Sans MS" panose="030F0702030302020204" pitchFamily="66" charset="0"/>
                <a:ea typeface="Calibri"/>
                <a:cs typeface="Calibri"/>
              </a:rPr>
              <a:pPr marL="0" indent="0" algn="r"/>
              <a:t>₹1,29,050.00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40">
        <xdr:nvSpPr>
          <xdr:cNvPr id="362" name="TextBox 361">
            <a:extLst>
              <a:ext uri="{FF2B5EF4-FFF2-40B4-BE49-F238E27FC236}">
                <a16:creationId xmlns:a16="http://schemas.microsoft.com/office/drawing/2014/main" id="{00000000-0008-0000-0000-00006A010000}"/>
              </a:ext>
            </a:extLst>
          </xdr:cNvPr>
          <xdr:cNvSpPr txBox="1"/>
        </xdr:nvSpPr>
        <xdr:spPr>
          <a:xfrm>
            <a:off x="1391216" y="16425230"/>
            <a:ext cx="746914" cy="386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383EA5B2-98EF-4B2C-9FAD-0E42A740E8F1}" type="TxLink">
              <a:rPr lang="en-US" sz="1200" b="1" i="0" u="none" strike="noStrike">
                <a:solidFill>
                  <a:srgbClr val="002060"/>
                </a:solidFill>
                <a:latin typeface="Comic Sans MS" panose="030F0702030302020204" pitchFamily="66" charset="0"/>
                <a:ea typeface="Calibri"/>
                <a:cs typeface="Calibri"/>
              </a:rPr>
              <a:pPr marL="0" indent="0" algn="r"/>
              <a:t>₹42,450.00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363" name="Group 362">
            <a:extLst>
              <a:ext uri="{FF2B5EF4-FFF2-40B4-BE49-F238E27FC236}">
                <a16:creationId xmlns:a16="http://schemas.microsoft.com/office/drawing/2014/main" id="{00000000-0008-0000-0000-00006B010000}"/>
              </a:ext>
            </a:extLst>
          </xdr:cNvPr>
          <xdr:cNvGrpSpPr/>
        </xdr:nvGrpSpPr>
        <xdr:grpSpPr>
          <a:xfrm>
            <a:off x="1885894" y="16956806"/>
            <a:ext cx="3369264" cy="1234284"/>
            <a:chOff x="1893241" y="7278981"/>
            <a:chExt cx="3370988" cy="1223521"/>
          </a:xfrm>
        </xdr:grpSpPr>
        <xdr:cxnSp macro="">
          <xdr:nvCxnSpPr>
            <xdr:cNvPr id="364" name="Straight Connector 363">
              <a:extLst>
                <a:ext uri="{FF2B5EF4-FFF2-40B4-BE49-F238E27FC236}">
                  <a16:creationId xmlns:a16="http://schemas.microsoft.com/office/drawing/2014/main" id="{00000000-0008-0000-0000-00006C010000}"/>
                </a:ext>
              </a:extLst>
            </xdr:cNvPr>
            <xdr:cNvCxnSpPr/>
          </xdr:nvCxnSpPr>
          <xdr:spPr>
            <a:xfrm>
              <a:off x="3061913" y="7349537"/>
              <a:ext cx="4208" cy="112944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65" name="Straight Connector 364">
              <a:extLst>
                <a:ext uri="{FF2B5EF4-FFF2-40B4-BE49-F238E27FC236}">
                  <a16:creationId xmlns:a16="http://schemas.microsoft.com/office/drawing/2014/main" id="{00000000-0008-0000-0000-00006D010000}"/>
                </a:ext>
              </a:extLst>
            </xdr:cNvPr>
            <xdr:cNvCxnSpPr/>
          </xdr:nvCxnSpPr>
          <xdr:spPr>
            <a:xfrm>
              <a:off x="4165048" y="7407243"/>
              <a:ext cx="2448" cy="1093728"/>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000-00006E010000}"/>
                </a:ext>
              </a:extLst>
            </xdr:cNvPr>
            <xdr:cNvCxnSpPr/>
          </xdr:nvCxnSpPr>
          <xdr:spPr>
            <a:xfrm>
              <a:off x="5259412" y="7350564"/>
              <a:ext cx="4817" cy="109528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000-00006F010000}"/>
                </a:ext>
              </a:extLst>
            </xdr:cNvPr>
            <xdr:cNvCxnSpPr/>
          </xdr:nvCxnSpPr>
          <xdr:spPr>
            <a:xfrm>
              <a:off x="1893241" y="7278981"/>
              <a:ext cx="4207" cy="122352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271506</xdr:colOff>
      <xdr:row>105</xdr:row>
      <xdr:rowOff>0</xdr:rowOff>
    </xdr:from>
    <xdr:to>
      <xdr:col>9</xdr:col>
      <xdr:colOff>16877</xdr:colOff>
      <xdr:row>129</xdr:row>
      <xdr:rowOff>60230</xdr:rowOff>
    </xdr:to>
    <xdr:grpSp>
      <xdr:nvGrpSpPr>
        <xdr:cNvPr id="400" name="Group 399">
          <a:extLst>
            <a:ext uri="{FF2B5EF4-FFF2-40B4-BE49-F238E27FC236}">
              <a16:creationId xmlns:a16="http://schemas.microsoft.com/office/drawing/2014/main" id="{00000000-0008-0000-0000-000090010000}"/>
            </a:ext>
          </a:extLst>
        </xdr:cNvPr>
        <xdr:cNvGrpSpPr/>
      </xdr:nvGrpSpPr>
      <xdr:grpSpPr>
        <a:xfrm>
          <a:off x="271506" y="19608362"/>
          <a:ext cx="6062526" cy="4527127"/>
          <a:chOff x="13617597" y="13776272"/>
          <a:chExt cx="6138979" cy="4375522"/>
        </a:xfrm>
      </xdr:grpSpPr>
      <xdr:grpSp>
        <xdr:nvGrpSpPr>
          <xdr:cNvPr id="401" name="Group 400">
            <a:extLst>
              <a:ext uri="{FF2B5EF4-FFF2-40B4-BE49-F238E27FC236}">
                <a16:creationId xmlns:a16="http://schemas.microsoft.com/office/drawing/2014/main" id="{00000000-0008-0000-0000-000091010000}"/>
              </a:ext>
            </a:extLst>
          </xdr:cNvPr>
          <xdr:cNvGrpSpPr/>
        </xdr:nvGrpSpPr>
        <xdr:grpSpPr>
          <a:xfrm>
            <a:off x="13617597" y="13776272"/>
            <a:ext cx="6138979" cy="4375522"/>
            <a:chOff x="344766" y="4265801"/>
            <a:chExt cx="6055631" cy="4281500"/>
          </a:xfrm>
        </xdr:grpSpPr>
        <xdr:grpSp>
          <xdr:nvGrpSpPr>
            <xdr:cNvPr id="433" name="Group 432">
              <a:extLst>
                <a:ext uri="{FF2B5EF4-FFF2-40B4-BE49-F238E27FC236}">
                  <a16:creationId xmlns:a16="http://schemas.microsoft.com/office/drawing/2014/main" id="{00000000-0008-0000-0000-0000B1010000}"/>
                </a:ext>
              </a:extLst>
            </xdr:cNvPr>
            <xdr:cNvGrpSpPr>
              <a:grpSpLocks/>
            </xdr:cNvGrpSpPr>
          </xdr:nvGrpSpPr>
          <xdr:grpSpPr>
            <a:xfrm>
              <a:off x="344766" y="4265801"/>
              <a:ext cx="6055631" cy="4281500"/>
              <a:chOff x="4615628" y="16240125"/>
              <a:chExt cx="5388081" cy="4325195"/>
            </a:xfrm>
          </xdr:grpSpPr>
          <xdr:sp macro="" textlink="">
            <xdr:nvSpPr>
              <xdr:cNvPr id="442" name="Rectangle 441">
                <a:extLst>
                  <a:ext uri="{FF2B5EF4-FFF2-40B4-BE49-F238E27FC236}">
                    <a16:creationId xmlns:a16="http://schemas.microsoft.com/office/drawing/2014/main" id="{00000000-0008-0000-0000-0000BA01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43" name="Group 442">
                <a:extLst>
                  <a:ext uri="{FF2B5EF4-FFF2-40B4-BE49-F238E27FC236}">
                    <a16:creationId xmlns:a16="http://schemas.microsoft.com/office/drawing/2014/main" id="{00000000-0008-0000-0000-0000BB010000}"/>
                  </a:ext>
                </a:extLst>
              </xdr:cNvPr>
              <xdr:cNvGrpSpPr/>
            </xdr:nvGrpSpPr>
            <xdr:grpSpPr>
              <a:xfrm>
                <a:off x="4615628" y="16240125"/>
                <a:ext cx="5388081" cy="4325195"/>
                <a:chOff x="4615628" y="16240125"/>
                <a:chExt cx="5388081" cy="4325195"/>
              </a:xfrm>
            </xdr:grpSpPr>
            <xdr:sp macro="" textlink="">
              <xdr:nvSpPr>
                <xdr:cNvPr id="450" name="Rectangle: Rounded Corners 449">
                  <a:extLst>
                    <a:ext uri="{FF2B5EF4-FFF2-40B4-BE49-F238E27FC236}">
                      <a16:creationId xmlns:a16="http://schemas.microsoft.com/office/drawing/2014/main" id="{00000000-0008-0000-0000-0000C201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51" name="Group 450">
                  <a:extLst>
                    <a:ext uri="{FF2B5EF4-FFF2-40B4-BE49-F238E27FC236}">
                      <a16:creationId xmlns:a16="http://schemas.microsoft.com/office/drawing/2014/main" id="{00000000-0008-0000-0000-0000C3010000}"/>
                    </a:ext>
                  </a:extLst>
                </xdr:cNvPr>
                <xdr:cNvGrpSpPr/>
              </xdr:nvGrpSpPr>
              <xdr:grpSpPr>
                <a:xfrm>
                  <a:off x="4615628" y="16240125"/>
                  <a:ext cx="5388081" cy="4325195"/>
                  <a:chOff x="4615628" y="16240125"/>
                  <a:chExt cx="5388081" cy="4325195"/>
                </a:xfrm>
              </xdr:grpSpPr>
              <xdr:sp macro="" textlink="">
                <xdr:nvSpPr>
                  <xdr:cNvPr id="453" name="TextBox 452">
                    <a:extLst>
                      <a:ext uri="{FF2B5EF4-FFF2-40B4-BE49-F238E27FC236}">
                        <a16:creationId xmlns:a16="http://schemas.microsoft.com/office/drawing/2014/main" id="{00000000-0008-0000-0000-0000C5010000}"/>
                      </a:ext>
                    </a:extLst>
                  </xdr:cNvPr>
                  <xdr:cNvSpPr txBox="1"/>
                </xdr:nvSpPr>
                <xdr:spPr>
                  <a:xfrm rot="10800000">
                    <a:off x="4616920" y="19139810"/>
                    <a:ext cx="5386535" cy="142551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454" name="TextBox 453">
                    <a:extLst>
                      <a:ext uri="{FF2B5EF4-FFF2-40B4-BE49-F238E27FC236}">
                        <a16:creationId xmlns:a16="http://schemas.microsoft.com/office/drawing/2014/main" id="{00000000-0008-0000-0000-0000C6010000}"/>
                      </a:ext>
                    </a:extLst>
                  </xdr:cNvPr>
                  <xdr:cNvSpPr txBox="1"/>
                </xdr:nvSpPr>
                <xdr:spPr>
                  <a:xfrm rot="5400000">
                    <a:off x="8531448" y="18482441"/>
                    <a:ext cx="2853472" cy="87824"/>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455" name="TextBox 454">
                    <a:extLst>
                      <a:ext uri="{FF2B5EF4-FFF2-40B4-BE49-F238E27FC236}">
                        <a16:creationId xmlns:a16="http://schemas.microsoft.com/office/drawing/2014/main" id="{00000000-0008-0000-0000-0000C7010000}"/>
                      </a:ext>
                    </a:extLst>
                  </xdr:cNvPr>
                  <xdr:cNvSpPr txBox="1"/>
                </xdr:nvSpPr>
                <xdr:spPr>
                  <a:xfrm>
                    <a:off x="4615628" y="16240125"/>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456" name="Rectangle 455">
                    <a:extLst>
                      <a:ext uri="{FF2B5EF4-FFF2-40B4-BE49-F238E27FC236}">
                        <a16:creationId xmlns:a16="http://schemas.microsoft.com/office/drawing/2014/main" id="{00000000-0008-0000-0000-0000C8010000}"/>
                      </a:ext>
                    </a:extLst>
                  </xdr:cNvPr>
                  <xdr:cNvSpPr/>
                </xdr:nvSpPr>
                <xdr:spPr>
                  <a:xfrm>
                    <a:off x="4617489" y="17304469"/>
                    <a:ext cx="1552110" cy="2531057"/>
                  </a:xfrm>
                  <a:prstGeom prst="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452" name="Rectangle: Rounded Corners 451">
                  <a:extLst>
                    <a:ext uri="{FF2B5EF4-FFF2-40B4-BE49-F238E27FC236}">
                      <a16:creationId xmlns:a16="http://schemas.microsoft.com/office/drawing/2014/main" id="{00000000-0008-0000-0000-0000C401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444" name="Rectangle: Rounded Corners 443">
                <a:extLst>
                  <a:ext uri="{FF2B5EF4-FFF2-40B4-BE49-F238E27FC236}">
                    <a16:creationId xmlns:a16="http://schemas.microsoft.com/office/drawing/2014/main" id="{00000000-0008-0000-0000-0000BC01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45" name="Rectangle: Rounded Corners 444">
                <a:extLst>
                  <a:ext uri="{FF2B5EF4-FFF2-40B4-BE49-F238E27FC236}">
                    <a16:creationId xmlns:a16="http://schemas.microsoft.com/office/drawing/2014/main" id="{00000000-0008-0000-0000-0000BD01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446" name="TextBox 445">
                <a:extLst>
                  <a:ext uri="{FF2B5EF4-FFF2-40B4-BE49-F238E27FC236}">
                    <a16:creationId xmlns:a16="http://schemas.microsoft.com/office/drawing/2014/main" id="{00000000-0008-0000-0000-0000BE010000}"/>
                  </a:ext>
                </a:extLst>
              </xdr:cNvPr>
              <xdr:cNvSpPr txBox="1"/>
            </xdr:nvSpPr>
            <xdr:spPr>
              <a:xfrm>
                <a:off x="4954120"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447" name="TextBox 446">
                <a:extLst>
                  <a:ext uri="{FF2B5EF4-FFF2-40B4-BE49-F238E27FC236}">
                    <a16:creationId xmlns:a16="http://schemas.microsoft.com/office/drawing/2014/main" id="{00000000-0008-0000-0000-0000BF010000}"/>
                  </a:ext>
                </a:extLst>
              </xdr:cNvPr>
              <xdr:cNvSpPr txBox="1"/>
            </xdr:nvSpPr>
            <xdr:spPr>
              <a:xfrm>
                <a:off x="5378802" y="18612186"/>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448" name="TextBox 447">
                <a:extLst>
                  <a:ext uri="{FF2B5EF4-FFF2-40B4-BE49-F238E27FC236}">
                    <a16:creationId xmlns:a16="http://schemas.microsoft.com/office/drawing/2014/main" id="{00000000-0008-0000-0000-0000C0010000}"/>
                  </a:ext>
                </a:extLst>
              </xdr:cNvPr>
              <xdr:cNvSpPr txBox="1"/>
            </xdr:nvSpPr>
            <xdr:spPr>
              <a:xfrm>
                <a:off x="4902896" y="17483241"/>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449" name="Rectangle: Rounded Corners 448">
                <a:extLst>
                  <a:ext uri="{FF2B5EF4-FFF2-40B4-BE49-F238E27FC236}">
                    <a16:creationId xmlns:a16="http://schemas.microsoft.com/office/drawing/2014/main" id="{00000000-0008-0000-0000-0000C101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434" name="Group 433">
              <a:extLst>
                <a:ext uri="{FF2B5EF4-FFF2-40B4-BE49-F238E27FC236}">
                  <a16:creationId xmlns:a16="http://schemas.microsoft.com/office/drawing/2014/main" id="{00000000-0008-0000-0000-0000B2010000}"/>
                </a:ext>
              </a:extLst>
            </xdr:cNvPr>
            <xdr:cNvGrpSpPr/>
          </xdr:nvGrpSpPr>
          <xdr:grpSpPr>
            <a:xfrm>
              <a:off x="483811" y="7299688"/>
              <a:ext cx="5557778" cy="914201"/>
              <a:chOff x="483811" y="7299688"/>
              <a:chExt cx="5557778" cy="914201"/>
            </a:xfrm>
          </xdr:grpSpPr>
          <xdr:sp macro="" textlink="">
            <xdr:nvSpPr>
              <xdr:cNvPr id="435" name="TextBox 434">
                <a:extLst>
                  <a:ext uri="{FF2B5EF4-FFF2-40B4-BE49-F238E27FC236}">
                    <a16:creationId xmlns:a16="http://schemas.microsoft.com/office/drawing/2014/main" id="{00000000-0008-0000-0000-0000B301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436" name="TextBox 435">
                <a:extLst>
                  <a:ext uri="{FF2B5EF4-FFF2-40B4-BE49-F238E27FC236}">
                    <a16:creationId xmlns:a16="http://schemas.microsoft.com/office/drawing/2014/main" id="{00000000-0008-0000-0000-0000B401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437" name="TextBox 436">
                <a:extLst>
                  <a:ext uri="{FF2B5EF4-FFF2-40B4-BE49-F238E27FC236}">
                    <a16:creationId xmlns:a16="http://schemas.microsoft.com/office/drawing/2014/main" id="{00000000-0008-0000-0000-0000B5010000}"/>
                  </a:ext>
                </a:extLst>
              </xdr:cNvPr>
              <xdr:cNvSpPr txBox="1"/>
            </xdr:nvSpPr>
            <xdr:spPr>
              <a:xfrm>
                <a:off x="3423464"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438" name="TextBox 437">
                <a:extLst>
                  <a:ext uri="{FF2B5EF4-FFF2-40B4-BE49-F238E27FC236}">
                    <a16:creationId xmlns:a16="http://schemas.microsoft.com/office/drawing/2014/main" id="{00000000-0008-0000-0000-0000B6010000}"/>
                  </a:ext>
                </a:extLst>
              </xdr:cNvPr>
              <xdr:cNvSpPr txBox="1"/>
            </xdr:nvSpPr>
            <xdr:spPr>
              <a:xfrm>
                <a:off x="4602968"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439" name="TextBox 438">
                <a:extLst>
                  <a:ext uri="{FF2B5EF4-FFF2-40B4-BE49-F238E27FC236}">
                    <a16:creationId xmlns:a16="http://schemas.microsoft.com/office/drawing/2014/main" id="{00000000-0008-0000-0000-0000B701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440" name="TextBox 439">
                <a:extLst>
                  <a:ext uri="{FF2B5EF4-FFF2-40B4-BE49-F238E27FC236}">
                    <a16:creationId xmlns:a16="http://schemas.microsoft.com/office/drawing/2014/main" id="{00000000-0008-0000-0000-0000B801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441" name="TextBox 440">
                <a:extLst>
                  <a:ext uri="{FF2B5EF4-FFF2-40B4-BE49-F238E27FC236}">
                    <a16:creationId xmlns:a16="http://schemas.microsoft.com/office/drawing/2014/main" id="{00000000-0008-0000-0000-0000B901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grpSp>
        <xdr:nvGrpSpPr>
          <xdr:cNvPr id="402" name="Group 401">
            <a:extLst>
              <a:ext uri="{FF2B5EF4-FFF2-40B4-BE49-F238E27FC236}">
                <a16:creationId xmlns:a16="http://schemas.microsoft.com/office/drawing/2014/main" id="{00000000-0008-0000-0000-000092010000}"/>
              </a:ext>
            </a:extLst>
          </xdr:cNvPr>
          <xdr:cNvGrpSpPr/>
        </xdr:nvGrpSpPr>
        <xdr:grpSpPr>
          <a:xfrm>
            <a:off x="15387055" y="13958398"/>
            <a:ext cx="4170934" cy="614402"/>
            <a:chOff x="9924445" y="15106708"/>
            <a:chExt cx="4177023" cy="603807"/>
          </a:xfrm>
        </xdr:grpSpPr>
        <xdr:grpSp>
          <xdr:nvGrpSpPr>
            <xdr:cNvPr id="424" name="Group 423">
              <a:extLst>
                <a:ext uri="{FF2B5EF4-FFF2-40B4-BE49-F238E27FC236}">
                  <a16:creationId xmlns:a16="http://schemas.microsoft.com/office/drawing/2014/main" id="{00000000-0008-0000-0000-0000A8010000}"/>
                </a:ext>
              </a:extLst>
            </xdr:cNvPr>
            <xdr:cNvGrpSpPr/>
          </xdr:nvGrpSpPr>
          <xdr:grpSpPr>
            <a:xfrm>
              <a:off x="9924445" y="15106708"/>
              <a:ext cx="4177023" cy="603807"/>
              <a:chOff x="9772834" y="16020484"/>
              <a:chExt cx="4173657" cy="595815"/>
            </a:xfrm>
          </xdr:grpSpPr>
          <xdr:sp macro="" textlink="">
            <xdr:nvSpPr>
              <xdr:cNvPr id="426" name="Rectangle: Rounded Corners 425">
                <a:extLst>
                  <a:ext uri="{FF2B5EF4-FFF2-40B4-BE49-F238E27FC236}">
                    <a16:creationId xmlns:a16="http://schemas.microsoft.com/office/drawing/2014/main" id="{00000000-0008-0000-0000-0000AA01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27" name="Rectangle: Rounded Corners 426">
                <a:extLst>
                  <a:ext uri="{FF2B5EF4-FFF2-40B4-BE49-F238E27FC236}">
                    <a16:creationId xmlns:a16="http://schemas.microsoft.com/office/drawing/2014/main" id="{00000000-0008-0000-0000-0000AB01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428" name="Straight Connector 427">
                <a:extLst>
                  <a:ext uri="{FF2B5EF4-FFF2-40B4-BE49-F238E27FC236}">
                    <a16:creationId xmlns:a16="http://schemas.microsoft.com/office/drawing/2014/main" id="{00000000-0008-0000-0000-0000AC010000}"/>
                  </a:ext>
                </a:extLst>
              </xdr:cNvPr>
              <xdr:cNvCxnSpPr/>
            </xdr:nvCxnSpPr>
            <xdr:spPr>
              <a:xfrm>
                <a:off x="10466812" y="16090026"/>
                <a:ext cx="1790" cy="52627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29" name="Straight Connector 428">
                <a:extLst>
                  <a:ext uri="{FF2B5EF4-FFF2-40B4-BE49-F238E27FC236}">
                    <a16:creationId xmlns:a16="http://schemas.microsoft.com/office/drawing/2014/main" id="{00000000-0008-0000-0000-0000AD010000}"/>
                  </a:ext>
                </a:extLst>
              </xdr:cNvPr>
              <xdr:cNvCxnSpPr/>
            </xdr:nvCxnSpPr>
            <xdr:spPr>
              <a:xfrm>
                <a:off x="11098469" y="16073671"/>
                <a:ext cx="7669" cy="51995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sp macro="" textlink="">
            <xdr:nvSpPr>
              <xdr:cNvPr id="430" name="TextBox 429">
                <a:extLst>
                  <a:ext uri="{FF2B5EF4-FFF2-40B4-BE49-F238E27FC236}">
                    <a16:creationId xmlns:a16="http://schemas.microsoft.com/office/drawing/2014/main" id="{00000000-0008-0000-0000-0000AE01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431" name="TextBox 430">
                <a:extLst>
                  <a:ext uri="{FF2B5EF4-FFF2-40B4-BE49-F238E27FC236}">
                    <a16:creationId xmlns:a16="http://schemas.microsoft.com/office/drawing/2014/main" id="{00000000-0008-0000-0000-0000AF01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432" name="TextBox 431">
                <a:extLst>
                  <a:ext uri="{FF2B5EF4-FFF2-40B4-BE49-F238E27FC236}">
                    <a16:creationId xmlns:a16="http://schemas.microsoft.com/office/drawing/2014/main" id="{00000000-0008-0000-0000-0000B001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425" name="TextBox 424">
              <a:extLst>
                <a:ext uri="{FF2B5EF4-FFF2-40B4-BE49-F238E27FC236}">
                  <a16:creationId xmlns:a16="http://schemas.microsoft.com/office/drawing/2014/main" id="{00000000-0008-0000-0000-0000A9010000}"/>
                </a:ext>
              </a:extLst>
            </xdr:cNvPr>
            <xdr:cNvSpPr txBox="1"/>
          </xdr:nvSpPr>
          <xdr:spPr>
            <a:xfrm>
              <a:off x="13307176" y="15392778"/>
              <a:ext cx="660230" cy="294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grpSp>
      <xdr:sp macro="" textlink="">
        <xdr:nvSpPr>
          <xdr:cNvPr id="403" name="TextBox 402">
            <a:extLst>
              <a:ext uri="{FF2B5EF4-FFF2-40B4-BE49-F238E27FC236}">
                <a16:creationId xmlns:a16="http://schemas.microsoft.com/office/drawing/2014/main" id="{00000000-0008-0000-0000-000093010000}"/>
              </a:ext>
            </a:extLst>
          </xdr:cNvPr>
          <xdr:cNvSpPr txBox="1"/>
        </xdr:nvSpPr>
        <xdr:spPr>
          <a:xfrm>
            <a:off x="13651763" y="13940497"/>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VII</a:t>
            </a:r>
            <a:endParaRPr lang="en-IN" sz="3100" b="1" i="0" spc="200" baseline="0">
              <a:solidFill>
                <a:schemeClr val="bg1"/>
              </a:solidFill>
              <a:latin typeface="Calisto MT" panose="02040603050505030304" pitchFamily="18" charset="0"/>
            </a:endParaRPr>
          </a:p>
        </xdr:txBody>
      </xdr:sp>
      <xdr:sp macro="" textlink="FinalAnalysis!C69">
        <xdr:nvSpPr>
          <xdr:cNvPr id="404" name="TextBox 403">
            <a:extLst>
              <a:ext uri="{FF2B5EF4-FFF2-40B4-BE49-F238E27FC236}">
                <a16:creationId xmlns:a16="http://schemas.microsoft.com/office/drawing/2014/main" id="{00000000-0008-0000-0000-000094010000}"/>
              </a:ext>
            </a:extLst>
          </xdr:cNvPr>
          <xdr:cNvSpPr txBox="1"/>
        </xdr:nvSpPr>
        <xdr:spPr>
          <a:xfrm>
            <a:off x="15072096" y="1728589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CB429E2-3523-414C-9D83-D47B10AF7090}" type="TxLink">
              <a:rPr lang="en-US" sz="1100" b="1" i="0" u="none" strike="noStrike">
                <a:solidFill>
                  <a:srgbClr val="002060"/>
                </a:solidFill>
                <a:latin typeface="Comic Sans MS" panose="030F0702030302020204" pitchFamily="66" charset="0"/>
                <a:ea typeface="Calibri"/>
                <a:cs typeface="Calibri"/>
              </a:rPr>
              <a:pPr marL="0" indent="0" algn="r"/>
              <a:t>₹ 46,000.00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H69">
        <xdr:nvSpPr>
          <xdr:cNvPr id="405" name="TextBox 404">
            <a:extLst>
              <a:ext uri="{FF2B5EF4-FFF2-40B4-BE49-F238E27FC236}">
                <a16:creationId xmlns:a16="http://schemas.microsoft.com/office/drawing/2014/main" id="{00000000-0008-0000-0000-000095010000}"/>
              </a:ext>
            </a:extLst>
          </xdr:cNvPr>
          <xdr:cNvSpPr txBox="1"/>
        </xdr:nvSpPr>
        <xdr:spPr>
          <a:xfrm>
            <a:off x="16283550" y="1729208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609CFD4-3421-4218-B755-2407395A676A}" type="TxLink">
              <a:rPr lang="en-US" sz="1100" b="1" i="0" u="none" strike="noStrike">
                <a:solidFill>
                  <a:srgbClr val="002060"/>
                </a:solidFill>
                <a:latin typeface="Comic Sans MS" panose="030F0702030302020204" pitchFamily="66" charset="0"/>
                <a:ea typeface="Calibri"/>
                <a:cs typeface="Calibri"/>
              </a:rPr>
              <a:pPr marL="0" indent="0" algn="r"/>
              <a:t>₹ 12,000.00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M69">
        <xdr:nvSpPr>
          <xdr:cNvPr id="406" name="TextBox 405">
            <a:extLst>
              <a:ext uri="{FF2B5EF4-FFF2-40B4-BE49-F238E27FC236}">
                <a16:creationId xmlns:a16="http://schemas.microsoft.com/office/drawing/2014/main" id="{00000000-0008-0000-0000-000096010000}"/>
              </a:ext>
            </a:extLst>
          </xdr:cNvPr>
          <xdr:cNvSpPr txBox="1"/>
        </xdr:nvSpPr>
        <xdr:spPr>
          <a:xfrm>
            <a:off x="17416684" y="1730316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01B6912B-FB2D-406D-9408-502D41E94CE8}" type="TxLink">
              <a:rPr lang="en-US" sz="1100" b="1" i="0" u="none" strike="noStrike">
                <a:solidFill>
                  <a:srgbClr val="002060"/>
                </a:solidFill>
                <a:latin typeface="Comic Sans MS" panose="030F0702030302020204" pitchFamily="66" charset="0"/>
                <a:ea typeface="Calibri"/>
                <a:cs typeface="Calibri"/>
              </a:rPr>
              <a:pPr marL="0" indent="0" algn="r"/>
              <a:t>₹ 6,000.00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S69">
        <xdr:nvSpPr>
          <xdr:cNvPr id="407" name="TextBox 406">
            <a:extLst>
              <a:ext uri="{FF2B5EF4-FFF2-40B4-BE49-F238E27FC236}">
                <a16:creationId xmlns:a16="http://schemas.microsoft.com/office/drawing/2014/main" id="{00000000-0008-0000-0000-000097010000}"/>
              </a:ext>
            </a:extLst>
          </xdr:cNvPr>
          <xdr:cNvSpPr txBox="1"/>
        </xdr:nvSpPr>
        <xdr:spPr>
          <a:xfrm>
            <a:off x="18354711" y="1733138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83E23E5-B6DB-48EE-A805-BF6101FE9013}" type="TxLink">
              <a:rPr lang="en-US" sz="1100" b="1" i="0" u="none" strike="noStrike">
                <a:solidFill>
                  <a:srgbClr val="002060"/>
                </a:solidFill>
                <a:latin typeface="Comic Sans MS" panose="030F0702030302020204" pitchFamily="66" charset="0"/>
                <a:ea typeface="Calibri"/>
                <a:cs typeface="Calibri"/>
              </a:rPr>
              <a:pPr marL="0" indent="0" algn="r"/>
              <a:t>₹ 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D69">
        <xdr:nvSpPr>
          <xdr:cNvPr id="408" name="TextBox 407">
            <a:extLst>
              <a:ext uri="{FF2B5EF4-FFF2-40B4-BE49-F238E27FC236}">
                <a16:creationId xmlns:a16="http://schemas.microsoft.com/office/drawing/2014/main" id="{00000000-0008-0000-0000-000098010000}"/>
              </a:ext>
            </a:extLst>
          </xdr:cNvPr>
          <xdr:cNvSpPr txBox="1"/>
        </xdr:nvSpPr>
        <xdr:spPr>
          <a:xfrm>
            <a:off x="15062016" y="1757264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2C2E4BB6-A185-4AE6-8B7D-CCA280EBCD62}" type="TxLink">
              <a:rPr lang="en-US" sz="1100" b="1" i="0" u="none" strike="noStrike">
                <a:solidFill>
                  <a:srgbClr val="002060"/>
                </a:solidFill>
                <a:latin typeface="Comic Sans MS" panose="030F0702030302020204" pitchFamily="66" charset="0"/>
                <a:ea typeface="Calibri"/>
                <a:cs typeface="Calibri"/>
              </a:rPr>
              <a:pPr marL="0" indent="0" algn="r"/>
              <a:t>-₹ 16,000.00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I69">
        <xdr:nvSpPr>
          <xdr:cNvPr id="409" name="TextBox 408">
            <a:extLst>
              <a:ext uri="{FF2B5EF4-FFF2-40B4-BE49-F238E27FC236}">
                <a16:creationId xmlns:a16="http://schemas.microsoft.com/office/drawing/2014/main" id="{00000000-0008-0000-0000-000099010000}"/>
              </a:ext>
            </a:extLst>
          </xdr:cNvPr>
          <xdr:cNvSpPr txBox="1"/>
        </xdr:nvSpPr>
        <xdr:spPr>
          <a:xfrm>
            <a:off x="16273469" y="1757669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4A683191-DB9D-4BB3-A1FB-5249F997AFAF}" type="TxLink">
              <a:rPr lang="en-US" sz="1100" b="1" i="0" u="none" strike="noStrike">
                <a:solidFill>
                  <a:srgbClr val="002060"/>
                </a:solidFill>
                <a:latin typeface="Comic Sans MS" panose="030F0702030302020204" pitchFamily="66" charset="0"/>
                <a:ea typeface="Calibri"/>
                <a:cs typeface="Calibri"/>
              </a:rPr>
              <a:pPr marL="0" indent="0" algn="r"/>
              <a:t>₹ 8,000.00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N69">
        <xdr:nvSpPr>
          <xdr:cNvPr id="410" name="TextBox 409">
            <a:extLst>
              <a:ext uri="{FF2B5EF4-FFF2-40B4-BE49-F238E27FC236}">
                <a16:creationId xmlns:a16="http://schemas.microsoft.com/office/drawing/2014/main" id="{00000000-0008-0000-0000-00009A010000}"/>
              </a:ext>
            </a:extLst>
          </xdr:cNvPr>
          <xdr:cNvSpPr txBox="1"/>
        </xdr:nvSpPr>
        <xdr:spPr>
          <a:xfrm>
            <a:off x="17416684" y="1758777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25D9B6A0-21CD-47AB-AAAC-396DEA48A394}" type="TxLink">
              <a:rPr lang="en-US" sz="1100" b="1" i="0" u="none" strike="noStrike">
                <a:solidFill>
                  <a:srgbClr val="002060"/>
                </a:solidFill>
                <a:latin typeface="Comic Sans MS" panose="030F0702030302020204" pitchFamily="66" charset="0"/>
                <a:ea typeface="Calibri"/>
                <a:cs typeface="Calibri"/>
              </a:rPr>
              <a:pPr marL="0" indent="0" algn="r"/>
              <a:t>₹ 1,500.00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T69">
        <xdr:nvSpPr>
          <xdr:cNvPr id="411" name="TextBox 410">
            <a:extLst>
              <a:ext uri="{FF2B5EF4-FFF2-40B4-BE49-F238E27FC236}">
                <a16:creationId xmlns:a16="http://schemas.microsoft.com/office/drawing/2014/main" id="{00000000-0008-0000-0000-00009B010000}"/>
              </a:ext>
            </a:extLst>
          </xdr:cNvPr>
          <xdr:cNvSpPr txBox="1"/>
        </xdr:nvSpPr>
        <xdr:spPr>
          <a:xfrm>
            <a:off x="18357330" y="1761599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EE6E9DE7-C629-4F87-A6CA-F3C2752D0881}" type="TxLink">
              <a:rPr lang="en-US" sz="1100" b="1" i="0" u="none" strike="noStrike">
                <a:solidFill>
                  <a:srgbClr val="002060"/>
                </a:solidFill>
                <a:latin typeface="Comic Sans MS" panose="030F0702030302020204" pitchFamily="66" charset="0"/>
                <a:ea typeface="Calibri"/>
                <a:cs typeface="Calibri"/>
              </a:rPr>
              <a:pPr marL="0" indent="0" algn="r"/>
              <a:t>₹ 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C30">
        <xdr:nvSpPr>
          <xdr:cNvPr id="412" name="TextBox 411">
            <a:extLst>
              <a:ext uri="{FF2B5EF4-FFF2-40B4-BE49-F238E27FC236}">
                <a16:creationId xmlns:a16="http://schemas.microsoft.com/office/drawing/2014/main" id="{00000000-0008-0000-0000-00009C010000}"/>
              </a:ext>
            </a:extLst>
          </xdr:cNvPr>
          <xdr:cNvSpPr txBox="1"/>
        </xdr:nvSpPr>
        <xdr:spPr>
          <a:xfrm>
            <a:off x="17783328" y="14114959"/>
            <a:ext cx="360422" cy="2634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50A4E5DA-84DF-4A81-A6FF-EE900774EBA9}"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FinalAnalysis!J42">
        <xdr:nvSpPr>
          <xdr:cNvPr id="413" name="TextBox 412">
            <a:extLst>
              <a:ext uri="{FF2B5EF4-FFF2-40B4-BE49-F238E27FC236}">
                <a16:creationId xmlns:a16="http://schemas.microsoft.com/office/drawing/2014/main" id="{00000000-0008-0000-0000-00009D010000}"/>
              </a:ext>
            </a:extLst>
          </xdr:cNvPr>
          <xdr:cNvSpPr txBox="1"/>
        </xdr:nvSpPr>
        <xdr:spPr>
          <a:xfrm>
            <a:off x="15591118" y="14180466"/>
            <a:ext cx="326494" cy="259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FA7E157E-EA90-4C48-B24D-9B511D49D2C4}" type="TxLink">
              <a:rPr lang="en-US" sz="1600" b="1" i="0" u="none" strike="noStrike">
                <a:solidFill>
                  <a:srgbClr val="002060"/>
                </a:solidFill>
                <a:latin typeface="Comic Sans MS" panose="030F0702030302020204" pitchFamily="66" charset="0"/>
                <a:ea typeface="+mn-ea"/>
                <a:cs typeface="+mn-cs"/>
              </a:rPr>
              <a:pPr marL="0" indent="0" algn="r"/>
              <a:t>4</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42">
        <xdr:nvSpPr>
          <xdr:cNvPr id="414" name="TextBox 413">
            <a:extLst>
              <a:ext uri="{FF2B5EF4-FFF2-40B4-BE49-F238E27FC236}">
                <a16:creationId xmlns:a16="http://schemas.microsoft.com/office/drawing/2014/main" id="{00000000-0008-0000-0000-00009E010000}"/>
              </a:ext>
            </a:extLst>
          </xdr:cNvPr>
          <xdr:cNvSpPr txBox="1"/>
        </xdr:nvSpPr>
        <xdr:spPr>
          <a:xfrm>
            <a:off x="16235240" y="14168778"/>
            <a:ext cx="330021" cy="277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1967C6B9-DF3A-4ACA-8E50-9024FBDA3F38}" type="TxLink">
              <a:rPr lang="en-US" sz="1200" b="1" i="0" u="none" strike="noStrike">
                <a:solidFill>
                  <a:srgbClr val="002060"/>
                </a:solidFill>
                <a:latin typeface="Comic Sans MS" panose="030F0702030302020204" pitchFamily="66" charset="0"/>
                <a:ea typeface="+mn-ea"/>
                <a:cs typeface="+mn-cs"/>
              </a:rPr>
              <a:pPr marL="0" indent="0" algn="r"/>
              <a:t>1</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42">
        <xdr:nvSpPr>
          <xdr:cNvPr id="415" name="TextBox 414">
            <a:extLst>
              <a:ext uri="{FF2B5EF4-FFF2-40B4-BE49-F238E27FC236}">
                <a16:creationId xmlns:a16="http://schemas.microsoft.com/office/drawing/2014/main" id="{00000000-0008-0000-0000-00009F010000}"/>
              </a:ext>
            </a:extLst>
          </xdr:cNvPr>
          <xdr:cNvSpPr txBox="1"/>
        </xdr:nvSpPr>
        <xdr:spPr>
          <a:xfrm>
            <a:off x="16812339" y="14168778"/>
            <a:ext cx="315912" cy="2594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8C06EB2E-BECB-4185-B18C-7727B4FA4153}" type="TxLink">
              <a:rPr lang="en-US" sz="1200" b="1" i="0" u="none" strike="noStrike">
                <a:solidFill>
                  <a:srgbClr val="002060"/>
                </a:solidFill>
                <a:latin typeface="Comic Sans MS" panose="030F0702030302020204" pitchFamily="66" charset="0"/>
                <a:ea typeface="+mn-ea"/>
                <a:cs typeface="+mn-cs"/>
              </a:rPr>
              <a:pPr marL="0" indent="0" algn="r"/>
              <a:t>3</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42">
        <xdr:nvSpPr>
          <xdr:cNvPr id="416" name="TextBox 415">
            <a:extLst>
              <a:ext uri="{FF2B5EF4-FFF2-40B4-BE49-F238E27FC236}">
                <a16:creationId xmlns:a16="http://schemas.microsoft.com/office/drawing/2014/main" id="{00000000-0008-0000-0000-0000A0010000}"/>
              </a:ext>
            </a:extLst>
          </xdr:cNvPr>
          <xdr:cNvSpPr txBox="1"/>
        </xdr:nvSpPr>
        <xdr:spPr>
          <a:xfrm>
            <a:off x="14599464" y="15276500"/>
            <a:ext cx="735731" cy="24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F8F216CF-4D05-4E36-888C-228CEA411901}" type="TxLink">
              <a:rPr lang="en-US" sz="1100" b="1" i="0" u="none" strike="noStrike">
                <a:solidFill>
                  <a:srgbClr val="002060"/>
                </a:solidFill>
                <a:latin typeface="Comic Sans MS" panose="030F0702030302020204" pitchFamily="66" charset="0"/>
                <a:ea typeface="Calibri"/>
                <a:cs typeface="Calibri"/>
              </a:rPr>
              <a:pPr marL="0" indent="0" algn="r"/>
              <a:t>₹82,500.00 </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F42">
        <xdr:nvSpPr>
          <xdr:cNvPr id="417" name="TextBox 416">
            <a:extLst>
              <a:ext uri="{FF2B5EF4-FFF2-40B4-BE49-F238E27FC236}">
                <a16:creationId xmlns:a16="http://schemas.microsoft.com/office/drawing/2014/main" id="{00000000-0008-0000-0000-0000A1010000}"/>
              </a:ext>
            </a:extLst>
          </xdr:cNvPr>
          <xdr:cNvSpPr txBox="1"/>
        </xdr:nvSpPr>
        <xdr:spPr>
          <a:xfrm>
            <a:off x="14573006" y="15776131"/>
            <a:ext cx="735731" cy="415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365D571-ADA2-4B94-8277-A777E3FD8927}" type="TxLink">
              <a:rPr lang="en-US" sz="1100" b="1" i="0" u="none" strike="noStrike">
                <a:solidFill>
                  <a:srgbClr val="002060"/>
                </a:solidFill>
                <a:latin typeface="Comic Sans MS" panose="030F0702030302020204" pitchFamily="66" charset="0"/>
                <a:ea typeface="Calibri"/>
                <a:cs typeface="Calibri"/>
              </a:rPr>
              <a:pPr marL="0" indent="0" algn="r"/>
              <a:t>₹64,000.00 </a:t>
            </a:fld>
            <a:endParaRPr lang="en-IN" sz="1100" b="1" i="0" u="none" strike="noStrike">
              <a:solidFill>
                <a:srgbClr val="002060"/>
              </a:solidFill>
              <a:latin typeface="Comic Sans MS" panose="030F0702030302020204" pitchFamily="66" charset="0"/>
              <a:ea typeface="+mn-ea"/>
              <a:cs typeface="+mn-cs"/>
            </a:endParaRPr>
          </a:p>
        </xdr:txBody>
      </xdr:sp>
      <xdr:sp macro="" textlink="FinalAnalysis!G42">
        <xdr:nvSpPr>
          <xdr:cNvPr id="418" name="TextBox 417">
            <a:extLst>
              <a:ext uri="{FF2B5EF4-FFF2-40B4-BE49-F238E27FC236}">
                <a16:creationId xmlns:a16="http://schemas.microsoft.com/office/drawing/2014/main" id="{00000000-0008-0000-0000-0000A2010000}"/>
              </a:ext>
            </a:extLst>
          </xdr:cNvPr>
          <xdr:cNvSpPr txBox="1"/>
        </xdr:nvSpPr>
        <xdr:spPr>
          <a:xfrm>
            <a:off x="14573006" y="16412478"/>
            <a:ext cx="735731" cy="386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B4F677D4-F36D-4CE3-89D6-F756829F6161}" type="TxLink">
              <a:rPr lang="en-US" sz="1100" b="1" i="0" u="none" strike="noStrike">
                <a:solidFill>
                  <a:srgbClr val="002060"/>
                </a:solidFill>
                <a:latin typeface="Comic Sans MS" panose="030F0702030302020204" pitchFamily="66" charset="0"/>
                <a:ea typeface="Calibri"/>
                <a:cs typeface="Calibri"/>
              </a:rPr>
              <a:pPr marL="0" indent="0" algn="r"/>
              <a:t>₹18,500.00 </a:t>
            </a:fld>
            <a:endParaRPr lang="en-IN" sz="1100" b="1" i="0" u="none" strike="noStrike">
              <a:solidFill>
                <a:srgbClr val="002060"/>
              </a:solidFill>
              <a:latin typeface="Comic Sans MS" panose="030F0702030302020204" pitchFamily="66" charset="0"/>
              <a:ea typeface="+mn-ea"/>
              <a:cs typeface="+mn-cs"/>
            </a:endParaRPr>
          </a:p>
        </xdr:txBody>
      </xdr:sp>
      <xdr:grpSp>
        <xdr:nvGrpSpPr>
          <xdr:cNvPr id="419" name="Group 418">
            <a:extLst>
              <a:ext uri="{FF2B5EF4-FFF2-40B4-BE49-F238E27FC236}">
                <a16:creationId xmlns:a16="http://schemas.microsoft.com/office/drawing/2014/main" id="{00000000-0008-0000-0000-0000A3010000}"/>
              </a:ext>
            </a:extLst>
          </xdr:cNvPr>
          <xdr:cNvGrpSpPr/>
        </xdr:nvGrpSpPr>
        <xdr:grpSpPr>
          <a:xfrm>
            <a:off x="15027093" y="16921249"/>
            <a:ext cx="3615556" cy="1228703"/>
            <a:chOff x="1660136" y="7321129"/>
            <a:chExt cx="3620079" cy="1223521"/>
          </a:xfrm>
        </xdr:grpSpPr>
        <xdr:cxnSp macro="">
          <xdr:nvCxnSpPr>
            <xdr:cNvPr id="420" name="Straight Connector 419">
              <a:extLst>
                <a:ext uri="{FF2B5EF4-FFF2-40B4-BE49-F238E27FC236}">
                  <a16:creationId xmlns:a16="http://schemas.microsoft.com/office/drawing/2014/main" id="{00000000-0008-0000-0000-0000A4010000}"/>
                </a:ext>
              </a:extLst>
            </xdr:cNvPr>
            <xdr:cNvCxnSpPr/>
          </xdr:nvCxnSpPr>
          <xdr:spPr>
            <a:xfrm>
              <a:off x="2962011" y="7339000"/>
              <a:ext cx="4208" cy="112944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21" name="Straight Connector 420">
              <a:extLst>
                <a:ext uri="{FF2B5EF4-FFF2-40B4-BE49-F238E27FC236}">
                  <a16:creationId xmlns:a16="http://schemas.microsoft.com/office/drawing/2014/main" id="{00000000-0008-0000-0000-0000A5010000}"/>
                </a:ext>
              </a:extLst>
            </xdr:cNvPr>
            <xdr:cNvCxnSpPr/>
          </xdr:nvCxnSpPr>
          <xdr:spPr>
            <a:xfrm>
              <a:off x="4175085" y="7407111"/>
              <a:ext cx="2448" cy="1093728"/>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22" name="Straight Connector 421">
              <a:extLst>
                <a:ext uri="{FF2B5EF4-FFF2-40B4-BE49-F238E27FC236}">
                  <a16:creationId xmlns:a16="http://schemas.microsoft.com/office/drawing/2014/main" id="{00000000-0008-0000-0000-0000A6010000}"/>
                </a:ext>
              </a:extLst>
            </xdr:cNvPr>
            <xdr:cNvCxnSpPr/>
          </xdr:nvCxnSpPr>
          <xdr:spPr>
            <a:xfrm>
              <a:off x="5275398" y="7371833"/>
              <a:ext cx="4817" cy="109528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23" name="Straight Connector 422">
              <a:extLst>
                <a:ext uri="{FF2B5EF4-FFF2-40B4-BE49-F238E27FC236}">
                  <a16:creationId xmlns:a16="http://schemas.microsoft.com/office/drawing/2014/main" id="{00000000-0008-0000-0000-0000A7010000}"/>
                </a:ext>
              </a:extLst>
            </xdr:cNvPr>
            <xdr:cNvCxnSpPr/>
          </xdr:nvCxnSpPr>
          <xdr:spPr>
            <a:xfrm>
              <a:off x="1660136" y="7321129"/>
              <a:ext cx="4207" cy="122352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18</xdr:col>
      <xdr:colOff>202505</xdr:colOff>
      <xdr:row>105</xdr:row>
      <xdr:rowOff>0</xdr:rowOff>
    </xdr:from>
    <xdr:to>
      <xdr:col>25</xdr:col>
      <xdr:colOff>50773</xdr:colOff>
      <xdr:row>129</xdr:row>
      <xdr:rowOff>117889</xdr:rowOff>
    </xdr:to>
    <xdr:grpSp>
      <xdr:nvGrpSpPr>
        <xdr:cNvPr id="457" name="Group 456">
          <a:extLst>
            <a:ext uri="{FF2B5EF4-FFF2-40B4-BE49-F238E27FC236}">
              <a16:creationId xmlns:a16="http://schemas.microsoft.com/office/drawing/2014/main" id="{00000000-0008-0000-0000-0000C9010000}"/>
            </a:ext>
          </a:extLst>
        </xdr:cNvPr>
        <xdr:cNvGrpSpPr/>
      </xdr:nvGrpSpPr>
      <xdr:grpSpPr>
        <a:xfrm>
          <a:off x="13526557" y="19608362"/>
          <a:ext cx="6132578" cy="4584786"/>
          <a:chOff x="6995255" y="18689209"/>
          <a:chExt cx="6140186" cy="4387346"/>
        </a:xfrm>
      </xdr:grpSpPr>
      <xdr:grpSp>
        <xdr:nvGrpSpPr>
          <xdr:cNvPr id="458" name="Group 457">
            <a:extLst>
              <a:ext uri="{FF2B5EF4-FFF2-40B4-BE49-F238E27FC236}">
                <a16:creationId xmlns:a16="http://schemas.microsoft.com/office/drawing/2014/main" id="{00000000-0008-0000-0000-0000CA010000}"/>
              </a:ext>
            </a:extLst>
          </xdr:cNvPr>
          <xdr:cNvGrpSpPr/>
        </xdr:nvGrpSpPr>
        <xdr:grpSpPr>
          <a:xfrm>
            <a:off x="6995255" y="18689209"/>
            <a:ext cx="6140186" cy="4387346"/>
            <a:chOff x="344766" y="4265801"/>
            <a:chExt cx="6055631" cy="4281500"/>
          </a:xfrm>
        </xdr:grpSpPr>
        <xdr:grpSp>
          <xdr:nvGrpSpPr>
            <xdr:cNvPr id="490" name="Group 489">
              <a:extLst>
                <a:ext uri="{FF2B5EF4-FFF2-40B4-BE49-F238E27FC236}">
                  <a16:creationId xmlns:a16="http://schemas.microsoft.com/office/drawing/2014/main" id="{00000000-0008-0000-0000-0000EA010000}"/>
                </a:ext>
              </a:extLst>
            </xdr:cNvPr>
            <xdr:cNvGrpSpPr>
              <a:grpSpLocks/>
            </xdr:cNvGrpSpPr>
          </xdr:nvGrpSpPr>
          <xdr:grpSpPr>
            <a:xfrm>
              <a:off x="344766" y="4265801"/>
              <a:ext cx="6055631" cy="4281500"/>
              <a:chOff x="4615628" y="16240125"/>
              <a:chExt cx="5388081" cy="4325195"/>
            </a:xfrm>
          </xdr:grpSpPr>
          <xdr:sp macro="" textlink="">
            <xdr:nvSpPr>
              <xdr:cNvPr id="499" name="Rectangle 498">
                <a:extLst>
                  <a:ext uri="{FF2B5EF4-FFF2-40B4-BE49-F238E27FC236}">
                    <a16:creationId xmlns:a16="http://schemas.microsoft.com/office/drawing/2014/main" id="{00000000-0008-0000-0000-0000F301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00" name="Group 499">
                <a:extLst>
                  <a:ext uri="{FF2B5EF4-FFF2-40B4-BE49-F238E27FC236}">
                    <a16:creationId xmlns:a16="http://schemas.microsoft.com/office/drawing/2014/main" id="{00000000-0008-0000-0000-0000F4010000}"/>
                  </a:ext>
                </a:extLst>
              </xdr:cNvPr>
              <xdr:cNvGrpSpPr/>
            </xdr:nvGrpSpPr>
            <xdr:grpSpPr>
              <a:xfrm>
                <a:off x="4615628" y="16240125"/>
                <a:ext cx="5388081" cy="4325195"/>
                <a:chOff x="4615628" y="16240125"/>
                <a:chExt cx="5388081" cy="4325195"/>
              </a:xfrm>
            </xdr:grpSpPr>
            <xdr:sp macro="" textlink="">
              <xdr:nvSpPr>
                <xdr:cNvPr id="507" name="Rectangle: Rounded Corners 506">
                  <a:extLst>
                    <a:ext uri="{FF2B5EF4-FFF2-40B4-BE49-F238E27FC236}">
                      <a16:creationId xmlns:a16="http://schemas.microsoft.com/office/drawing/2014/main" id="{00000000-0008-0000-0000-0000FB01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08" name="Group 507">
                  <a:extLst>
                    <a:ext uri="{FF2B5EF4-FFF2-40B4-BE49-F238E27FC236}">
                      <a16:creationId xmlns:a16="http://schemas.microsoft.com/office/drawing/2014/main" id="{00000000-0008-0000-0000-0000FC010000}"/>
                    </a:ext>
                  </a:extLst>
                </xdr:cNvPr>
                <xdr:cNvGrpSpPr/>
              </xdr:nvGrpSpPr>
              <xdr:grpSpPr>
                <a:xfrm>
                  <a:off x="4615628" y="16240125"/>
                  <a:ext cx="5388081" cy="4325195"/>
                  <a:chOff x="4615628" y="16240125"/>
                  <a:chExt cx="5388081" cy="4325195"/>
                </a:xfrm>
              </xdr:grpSpPr>
              <xdr:sp macro="" textlink="">
                <xdr:nvSpPr>
                  <xdr:cNvPr id="510" name="TextBox 509">
                    <a:extLst>
                      <a:ext uri="{FF2B5EF4-FFF2-40B4-BE49-F238E27FC236}">
                        <a16:creationId xmlns:a16="http://schemas.microsoft.com/office/drawing/2014/main" id="{00000000-0008-0000-0000-0000FE010000}"/>
                      </a:ext>
                    </a:extLst>
                  </xdr:cNvPr>
                  <xdr:cNvSpPr txBox="1"/>
                </xdr:nvSpPr>
                <xdr:spPr>
                  <a:xfrm rot="10800000">
                    <a:off x="4616920" y="19139810"/>
                    <a:ext cx="5386535" cy="142551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511" name="TextBox 510">
                    <a:extLst>
                      <a:ext uri="{FF2B5EF4-FFF2-40B4-BE49-F238E27FC236}">
                        <a16:creationId xmlns:a16="http://schemas.microsoft.com/office/drawing/2014/main" id="{00000000-0008-0000-0000-0000FF010000}"/>
                      </a:ext>
                    </a:extLst>
                  </xdr:cNvPr>
                  <xdr:cNvSpPr txBox="1"/>
                </xdr:nvSpPr>
                <xdr:spPr>
                  <a:xfrm rot="5400000">
                    <a:off x="8531448" y="18482441"/>
                    <a:ext cx="2853472" cy="87824"/>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512" name="TextBox 511">
                    <a:extLst>
                      <a:ext uri="{FF2B5EF4-FFF2-40B4-BE49-F238E27FC236}">
                        <a16:creationId xmlns:a16="http://schemas.microsoft.com/office/drawing/2014/main" id="{00000000-0008-0000-0000-000000020000}"/>
                      </a:ext>
                    </a:extLst>
                  </xdr:cNvPr>
                  <xdr:cNvSpPr txBox="1"/>
                </xdr:nvSpPr>
                <xdr:spPr>
                  <a:xfrm>
                    <a:off x="4615628" y="16240125"/>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513" name="Rectangle 512">
                    <a:extLst>
                      <a:ext uri="{FF2B5EF4-FFF2-40B4-BE49-F238E27FC236}">
                        <a16:creationId xmlns:a16="http://schemas.microsoft.com/office/drawing/2014/main" id="{00000000-0008-0000-0000-000001020000}"/>
                      </a:ext>
                    </a:extLst>
                  </xdr:cNvPr>
                  <xdr:cNvSpPr/>
                </xdr:nvSpPr>
                <xdr:spPr>
                  <a:xfrm>
                    <a:off x="4617489" y="17304469"/>
                    <a:ext cx="1552110" cy="2531057"/>
                  </a:xfrm>
                  <a:prstGeom prst="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09" name="Rectangle: Rounded Corners 508">
                  <a:extLst>
                    <a:ext uri="{FF2B5EF4-FFF2-40B4-BE49-F238E27FC236}">
                      <a16:creationId xmlns:a16="http://schemas.microsoft.com/office/drawing/2014/main" id="{00000000-0008-0000-0000-0000FD01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01" name="Rectangle: Rounded Corners 500">
                <a:extLst>
                  <a:ext uri="{FF2B5EF4-FFF2-40B4-BE49-F238E27FC236}">
                    <a16:creationId xmlns:a16="http://schemas.microsoft.com/office/drawing/2014/main" id="{00000000-0008-0000-0000-0000F501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02" name="Rectangle: Rounded Corners 501">
                <a:extLst>
                  <a:ext uri="{FF2B5EF4-FFF2-40B4-BE49-F238E27FC236}">
                    <a16:creationId xmlns:a16="http://schemas.microsoft.com/office/drawing/2014/main" id="{00000000-0008-0000-0000-0000F601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503" name="TextBox 502">
                <a:extLst>
                  <a:ext uri="{FF2B5EF4-FFF2-40B4-BE49-F238E27FC236}">
                    <a16:creationId xmlns:a16="http://schemas.microsoft.com/office/drawing/2014/main" id="{00000000-0008-0000-0000-0000F701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504" name="TextBox 503">
                <a:extLst>
                  <a:ext uri="{FF2B5EF4-FFF2-40B4-BE49-F238E27FC236}">
                    <a16:creationId xmlns:a16="http://schemas.microsoft.com/office/drawing/2014/main" id="{00000000-0008-0000-0000-0000F8010000}"/>
                  </a:ext>
                </a:extLst>
              </xdr:cNvPr>
              <xdr:cNvSpPr txBox="1"/>
            </xdr:nvSpPr>
            <xdr:spPr>
              <a:xfrm>
                <a:off x="5296264" y="1857557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505" name="TextBox 504">
                <a:extLst>
                  <a:ext uri="{FF2B5EF4-FFF2-40B4-BE49-F238E27FC236}">
                    <a16:creationId xmlns:a16="http://schemas.microsoft.com/office/drawing/2014/main" id="{00000000-0008-0000-0000-0000F9010000}"/>
                  </a:ext>
                </a:extLst>
              </xdr:cNvPr>
              <xdr:cNvSpPr txBox="1"/>
            </xdr:nvSpPr>
            <xdr:spPr>
              <a:xfrm>
                <a:off x="4882350" y="17437236"/>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506" name="Rectangle: Rounded Corners 505">
                <a:extLst>
                  <a:ext uri="{FF2B5EF4-FFF2-40B4-BE49-F238E27FC236}">
                    <a16:creationId xmlns:a16="http://schemas.microsoft.com/office/drawing/2014/main" id="{00000000-0008-0000-0000-0000FA01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491" name="Group 490">
              <a:extLst>
                <a:ext uri="{FF2B5EF4-FFF2-40B4-BE49-F238E27FC236}">
                  <a16:creationId xmlns:a16="http://schemas.microsoft.com/office/drawing/2014/main" id="{00000000-0008-0000-0000-0000EB010000}"/>
                </a:ext>
              </a:extLst>
            </xdr:cNvPr>
            <xdr:cNvGrpSpPr/>
          </xdr:nvGrpSpPr>
          <xdr:grpSpPr>
            <a:xfrm>
              <a:off x="483811" y="7299688"/>
              <a:ext cx="5557778" cy="914201"/>
              <a:chOff x="483811" y="7299688"/>
              <a:chExt cx="5557778" cy="914201"/>
            </a:xfrm>
          </xdr:grpSpPr>
          <xdr:sp macro="" textlink="">
            <xdr:nvSpPr>
              <xdr:cNvPr id="492" name="TextBox 491">
                <a:extLst>
                  <a:ext uri="{FF2B5EF4-FFF2-40B4-BE49-F238E27FC236}">
                    <a16:creationId xmlns:a16="http://schemas.microsoft.com/office/drawing/2014/main" id="{00000000-0008-0000-0000-0000EC01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493" name="TextBox 492">
                <a:extLst>
                  <a:ext uri="{FF2B5EF4-FFF2-40B4-BE49-F238E27FC236}">
                    <a16:creationId xmlns:a16="http://schemas.microsoft.com/office/drawing/2014/main" id="{00000000-0008-0000-0000-0000ED01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494" name="TextBox 493">
                <a:extLst>
                  <a:ext uri="{FF2B5EF4-FFF2-40B4-BE49-F238E27FC236}">
                    <a16:creationId xmlns:a16="http://schemas.microsoft.com/office/drawing/2014/main" id="{00000000-0008-0000-0000-0000EE01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495" name="TextBox 494">
                <a:extLst>
                  <a:ext uri="{FF2B5EF4-FFF2-40B4-BE49-F238E27FC236}">
                    <a16:creationId xmlns:a16="http://schemas.microsoft.com/office/drawing/2014/main" id="{00000000-0008-0000-0000-0000EF01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496" name="TextBox 495">
                <a:extLst>
                  <a:ext uri="{FF2B5EF4-FFF2-40B4-BE49-F238E27FC236}">
                    <a16:creationId xmlns:a16="http://schemas.microsoft.com/office/drawing/2014/main" id="{00000000-0008-0000-0000-0000F001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497" name="TextBox 496">
                <a:extLst>
                  <a:ext uri="{FF2B5EF4-FFF2-40B4-BE49-F238E27FC236}">
                    <a16:creationId xmlns:a16="http://schemas.microsoft.com/office/drawing/2014/main" id="{00000000-0008-0000-0000-0000F101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498" name="TextBox 497">
                <a:extLst>
                  <a:ext uri="{FF2B5EF4-FFF2-40B4-BE49-F238E27FC236}">
                    <a16:creationId xmlns:a16="http://schemas.microsoft.com/office/drawing/2014/main" id="{00000000-0008-0000-0000-0000F201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grpSp>
        <xdr:nvGrpSpPr>
          <xdr:cNvPr id="459" name="Group 458">
            <a:extLst>
              <a:ext uri="{FF2B5EF4-FFF2-40B4-BE49-F238E27FC236}">
                <a16:creationId xmlns:a16="http://schemas.microsoft.com/office/drawing/2014/main" id="{00000000-0008-0000-0000-0000CB010000}"/>
              </a:ext>
            </a:extLst>
          </xdr:cNvPr>
          <xdr:cNvGrpSpPr/>
        </xdr:nvGrpSpPr>
        <xdr:grpSpPr>
          <a:xfrm>
            <a:off x="8839545" y="18998918"/>
            <a:ext cx="4230971" cy="617933"/>
            <a:chOff x="9924445" y="15106708"/>
            <a:chExt cx="4177023" cy="603807"/>
          </a:xfrm>
        </xdr:grpSpPr>
        <xdr:grpSp>
          <xdr:nvGrpSpPr>
            <xdr:cNvPr id="481" name="Group 480">
              <a:extLst>
                <a:ext uri="{FF2B5EF4-FFF2-40B4-BE49-F238E27FC236}">
                  <a16:creationId xmlns:a16="http://schemas.microsoft.com/office/drawing/2014/main" id="{00000000-0008-0000-0000-0000E1010000}"/>
                </a:ext>
              </a:extLst>
            </xdr:cNvPr>
            <xdr:cNvGrpSpPr/>
          </xdr:nvGrpSpPr>
          <xdr:grpSpPr>
            <a:xfrm>
              <a:off x="9924445" y="15106708"/>
              <a:ext cx="4177023" cy="603807"/>
              <a:chOff x="9772834" y="16020484"/>
              <a:chExt cx="4173657" cy="595815"/>
            </a:xfrm>
          </xdr:grpSpPr>
          <xdr:sp macro="" textlink="">
            <xdr:nvSpPr>
              <xdr:cNvPr id="483" name="Rectangle: Rounded Corners 482">
                <a:extLst>
                  <a:ext uri="{FF2B5EF4-FFF2-40B4-BE49-F238E27FC236}">
                    <a16:creationId xmlns:a16="http://schemas.microsoft.com/office/drawing/2014/main" id="{00000000-0008-0000-0000-0000E301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84" name="Rectangle: Rounded Corners 483">
                <a:extLst>
                  <a:ext uri="{FF2B5EF4-FFF2-40B4-BE49-F238E27FC236}">
                    <a16:creationId xmlns:a16="http://schemas.microsoft.com/office/drawing/2014/main" id="{00000000-0008-0000-0000-0000E401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485" name="Straight Connector 484">
                <a:extLst>
                  <a:ext uri="{FF2B5EF4-FFF2-40B4-BE49-F238E27FC236}">
                    <a16:creationId xmlns:a16="http://schemas.microsoft.com/office/drawing/2014/main" id="{00000000-0008-0000-0000-0000E5010000}"/>
                  </a:ext>
                </a:extLst>
              </xdr:cNvPr>
              <xdr:cNvCxnSpPr/>
            </xdr:nvCxnSpPr>
            <xdr:spPr>
              <a:xfrm>
                <a:off x="10466812" y="16090026"/>
                <a:ext cx="1790" cy="52627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86" name="Straight Connector 485">
                <a:extLst>
                  <a:ext uri="{FF2B5EF4-FFF2-40B4-BE49-F238E27FC236}">
                    <a16:creationId xmlns:a16="http://schemas.microsoft.com/office/drawing/2014/main" id="{00000000-0008-0000-0000-0000E6010000}"/>
                  </a:ext>
                </a:extLst>
              </xdr:cNvPr>
              <xdr:cNvCxnSpPr/>
            </xdr:nvCxnSpPr>
            <xdr:spPr>
              <a:xfrm>
                <a:off x="11098469" y="16073671"/>
                <a:ext cx="7669" cy="519953"/>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sp macro="" textlink="">
            <xdr:nvSpPr>
              <xdr:cNvPr id="487" name="TextBox 486">
                <a:extLst>
                  <a:ext uri="{FF2B5EF4-FFF2-40B4-BE49-F238E27FC236}">
                    <a16:creationId xmlns:a16="http://schemas.microsoft.com/office/drawing/2014/main" id="{00000000-0008-0000-0000-0000E701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488" name="TextBox 487">
                <a:extLst>
                  <a:ext uri="{FF2B5EF4-FFF2-40B4-BE49-F238E27FC236}">
                    <a16:creationId xmlns:a16="http://schemas.microsoft.com/office/drawing/2014/main" id="{00000000-0008-0000-0000-0000E801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489" name="TextBox 488">
                <a:extLst>
                  <a:ext uri="{FF2B5EF4-FFF2-40B4-BE49-F238E27FC236}">
                    <a16:creationId xmlns:a16="http://schemas.microsoft.com/office/drawing/2014/main" id="{00000000-0008-0000-0000-0000E901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482" name="TextBox 481">
              <a:extLst>
                <a:ext uri="{FF2B5EF4-FFF2-40B4-BE49-F238E27FC236}">
                  <a16:creationId xmlns:a16="http://schemas.microsoft.com/office/drawing/2014/main" id="{00000000-0008-0000-0000-0000E2010000}"/>
                </a:ext>
              </a:extLst>
            </xdr:cNvPr>
            <xdr:cNvSpPr txBox="1"/>
          </xdr:nvSpPr>
          <xdr:spPr>
            <a:xfrm>
              <a:off x="13340123" y="15392597"/>
              <a:ext cx="660230" cy="294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grpSp>
      <xdr:sp macro="" textlink="">
        <xdr:nvSpPr>
          <xdr:cNvPr id="460" name="TextBox 459">
            <a:extLst>
              <a:ext uri="{FF2B5EF4-FFF2-40B4-BE49-F238E27FC236}">
                <a16:creationId xmlns:a16="http://schemas.microsoft.com/office/drawing/2014/main" id="{00000000-0008-0000-0000-0000CC010000}"/>
              </a:ext>
            </a:extLst>
          </xdr:cNvPr>
          <xdr:cNvSpPr txBox="1"/>
        </xdr:nvSpPr>
        <xdr:spPr>
          <a:xfrm>
            <a:off x="7054057" y="19003850"/>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IX</a:t>
            </a:r>
            <a:endParaRPr lang="en-IN" sz="3100" b="1" i="0" spc="200" baseline="0">
              <a:solidFill>
                <a:schemeClr val="bg1"/>
              </a:solidFill>
              <a:latin typeface="Calisto MT" panose="02040603050505030304" pitchFamily="18" charset="0"/>
            </a:endParaRPr>
          </a:p>
        </xdr:txBody>
      </xdr:sp>
      <xdr:sp macro="" textlink="FinalAnalysis!C71">
        <xdr:nvSpPr>
          <xdr:cNvPr id="461" name="TextBox 460">
            <a:extLst>
              <a:ext uri="{FF2B5EF4-FFF2-40B4-BE49-F238E27FC236}">
                <a16:creationId xmlns:a16="http://schemas.microsoft.com/office/drawing/2014/main" id="{00000000-0008-0000-0000-0000CD010000}"/>
              </a:ext>
            </a:extLst>
          </xdr:cNvPr>
          <xdr:cNvSpPr txBox="1"/>
        </xdr:nvSpPr>
        <xdr:spPr>
          <a:xfrm>
            <a:off x="8673293" y="2223223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5C6DD0C7-19B3-47F4-A8D8-808EECD63CDB}" type="TxLink">
              <a:rPr lang="en-US" sz="1200" b="1" i="0" u="none" strike="noStrike">
                <a:solidFill>
                  <a:srgbClr val="002060"/>
                </a:solidFill>
                <a:latin typeface="Comic Sans MS" panose="030F0702030302020204" pitchFamily="66" charset="0"/>
                <a:ea typeface="Calibri"/>
                <a:cs typeface="Calibri"/>
              </a:rPr>
              <a:pPr marL="0" indent="0" algn="r"/>
              <a:t>₹ 61,000.00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71">
        <xdr:nvSpPr>
          <xdr:cNvPr id="462" name="TextBox 461">
            <a:extLst>
              <a:ext uri="{FF2B5EF4-FFF2-40B4-BE49-F238E27FC236}">
                <a16:creationId xmlns:a16="http://schemas.microsoft.com/office/drawing/2014/main" id="{00000000-0008-0000-0000-0000CE010000}"/>
              </a:ext>
            </a:extLst>
          </xdr:cNvPr>
          <xdr:cNvSpPr txBox="1"/>
        </xdr:nvSpPr>
        <xdr:spPr>
          <a:xfrm>
            <a:off x="9794899" y="2223600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18D807A-4A5B-49A9-B497-12011F6ADAD7}"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71">
        <xdr:nvSpPr>
          <xdr:cNvPr id="463" name="TextBox 462">
            <a:extLst>
              <a:ext uri="{FF2B5EF4-FFF2-40B4-BE49-F238E27FC236}">
                <a16:creationId xmlns:a16="http://schemas.microsoft.com/office/drawing/2014/main" id="{00000000-0008-0000-0000-0000CF010000}"/>
              </a:ext>
            </a:extLst>
          </xdr:cNvPr>
          <xdr:cNvSpPr txBox="1"/>
        </xdr:nvSpPr>
        <xdr:spPr>
          <a:xfrm>
            <a:off x="10982297" y="2222592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65A6E47-5D00-401F-9992-0B2C29C581E4}"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71">
        <xdr:nvSpPr>
          <xdr:cNvPr id="464" name="TextBox 463">
            <a:extLst>
              <a:ext uri="{FF2B5EF4-FFF2-40B4-BE49-F238E27FC236}">
                <a16:creationId xmlns:a16="http://schemas.microsoft.com/office/drawing/2014/main" id="{00000000-0008-0000-0000-0000D0010000}"/>
              </a:ext>
            </a:extLst>
          </xdr:cNvPr>
          <xdr:cNvSpPr txBox="1"/>
        </xdr:nvSpPr>
        <xdr:spPr>
          <a:xfrm>
            <a:off x="11846355" y="2225284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99F7C41-039D-4173-B591-05D8A2B6FB37}" type="TxLink">
              <a:rPr lang="en-US" sz="1200" b="1" i="0" u="none" strike="noStrike">
                <a:solidFill>
                  <a:srgbClr val="002060"/>
                </a:solidFill>
                <a:latin typeface="Comic Sans MS" panose="030F0702030302020204" pitchFamily="66" charset="0"/>
                <a:ea typeface="Calibri"/>
                <a:cs typeface="Calibri"/>
              </a:rPr>
              <a:pPr marL="0" indent="0" algn="r"/>
              <a:t>₹ 10,500.00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71">
        <xdr:nvSpPr>
          <xdr:cNvPr id="465" name="TextBox 464">
            <a:extLst>
              <a:ext uri="{FF2B5EF4-FFF2-40B4-BE49-F238E27FC236}">
                <a16:creationId xmlns:a16="http://schemas.microsoft.com/office/drawing/2014/main" id="{00000000-0008-0000-0000-0000D1010000}"/>
              </a:ext>
            </a:extLst>
          </xdr:cNvPr>
          <xdr:cNvSpPr txBox="1"/>
        </xdr:nvSpPr>
        <xdr:spPr>
          <a:xfrm>
            <a:off x="8663214" y="2250821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0E2CE2B4-9B12-4091-BA3A-776FF6D402A5}" type="TxLink">
              <a:rPr lang="en-US" sz="1200" b="1" i="0" u="none" strike="noStrike">
                <a:solidFill>
                  <a:srgbClr val="002060"/>
                </a:solidFill>
                <a:latin typeface="Comic Sans MS" panose="030F0702030302020204" pitchFamily="66" charset="0"/>
                <a:ea typeface="Calibri"/>
                <a:cs typeface="Calibri"/>
              </a:rPr>
              <a:pPr marL="0" indent="0" algn="r"/>
              <a:t>-₹ 15,000.00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71">
        <xdr:nvSpPr>
          <xdr:cNvPr id="466" name="TextBox 465">
            <a:extLst>
              <a:ext uri="{FF2B5EF4-FFF2-40B4-BE49-F238E27FC236}">
                <a16:creationId xmlns:a16="http://schemas.microsoft.com/office/drawing/2014/main" id="{00000000-0008-0000-0000-0000D2010000}"/>
              </a:ext>
            </a:extLst>
          </xdr:cNvPr>
          <xdr:cNvSpPr txBox="1"/>
        </xdr:nvSpPr>
        <xdr:spPr>
          <a:xfrm>
            <a:off x="9784819" y="2250985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8E72CD28-899B-4844-970A-B6041A7EE5A9}"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71">
        <xdr:nvSpPr>
          <xdr:cNvPr id="467" name="TextBox 466">
            <a:extLst>
              <a:ext uri="{FF2B5EF4-FFF2-40B4-BE49-F238E27FC236}">
                <a16:creationId xmlns:a16="http://schemas.microsoft.com/office/drawing/2014/main" id="{00000000-0008-0000-0000-0000D3010000}"/>
              </a:ext>
            </a:extLst>
          </xdr:cNvPr>
          <xdr:cNvSpPr txBox="1"/>
        </xdr:nvSpPr>
        <xdr:spPr>
          <a:xfrm>
            <a:off x="10982297" y="2249977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DA1ED7EB-DB0A-4ED8-8C6B-8FB89061A6C7}"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71">
        <xdr:nvSpPr>
          <xdr:cNvPr id="468" name="TextBox 467">
            <a:extLst>
              <a:ext uri="{FF2B5EF4-FFF2-40B4-BE49-F238E27FC236}">
                <a16:creationId xmlns:a16="http://schemas.microsoft.com/office/drawing/2014/main" id="{00000000-0008-0000-0000-0000D4010000}"/>
              </a:ext>
            </a:extLst>
          </xdr:cNvPr>
          <xdr:cNvSpPr txBox="1"/>
        </xdr:nvSpPr>
        <xdr:spPr>
          <a:xfrm>
            <a:off x="11836275" y="2252669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39CA64E-DCEA-4292-BCAD-67F9F1D87E93}" type="TxLink">
              <a:rPr lang="en-US" sz="1200" b="1" i="0" u="none" strike="noStrike">
                <a:solidFill>
                  <a:srgbClr val="002060"/>
                </a:solidFill>
                <a:latin typeface="Comic Sans MS" panose="030F0702030302020204" pitchFamily="66" charset="0"/>
                <a:ea typeface="Calibri"/>
                <a:cs typeface="Calibri"/>
              </a:rPr>
              <a:pPr marL="0" indent="0" algn="r"/>
              <a:t>₹ 21,000.00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C30">
        <xdr:nvSpPr>
          <xdr:cNvPr id="469" name="TextBox 468">
            <a:extLst>
              <a:ext uri="{FF2B5EF4-FFF2-40B4-BE49-F238E27FC236}">
                <a16:creationId xmlns:a16="http://schemas.microsoft.com/office/drawing/2014/main" id="{00000000-0008-0000-0000-0000D5010000}"/>
              </a:ext>
            </a:extLst>
          </xdr:cNvPr>
          <xdr:cNvSpPr txBox="1"/>
        </xdr:nvSpPr>
        <xdr:spPr>
          <a:xfrm>
            <a:off x="11131000" y="19144663"/>
            <a:ext cx="678146" cy="2634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763F52F2-B770-4D7B-BF36-8AB1E6A7B6D5}"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FinalAnalysis!J44">
        <xdr:nvSpPr>
          <xdr:cNvPr id="470" name="TextBox 469">
            <a:extLst>
              <a:ext uri="{FF2B5EF4-FFF2-40B4-BE49-F238E27FC236}">
                <a16:creationId xmlns:a16="http://schemas.microsoft.com/office/drawing/2014/main" id="{00000000-0008-0000-0000-0000D6010000}"/>
              </a:ext>
            </a:extLst>
          </xdr:cNvPr>
          <xdr:cNvSpPr txBox="1"/>
        </xdr:nvSpPr>
        <xdr:spPr>
          <a:xfrm>
            <a:off x="9073212" y="19206453"/>
            <a:ext cx="326494" cy="259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2B72D67F-CF98-4930-8535-8CCFFDADBBF4}" type="TxLink">
              <a:rPr lang="en-US" sz="1600" b="1" i="0" u="none" strike="noStrike">
                <a:solidFill>
                  <a:srgbClr val="312B57"/>
                </a:solidFill>
                <a:latin typeface="Comic Sans MS" panose="030F0702030302020204" pitchFamily="66" charset="0"/>
                <a:ea typeface="+mn-ea"/>
                <a:cs typeface="+mn-cs"/>
              </a:rPr>
              <a:pPr marL="0" indent="0" algn="r"/>
              <a:t>4</a:t>
            </a:fld>
            <a:endParaRPr lang="en-IN" sz="1600" b="1" i="0" u="none" strike="noStrike">
              <a:solidFill>
                <a:srgbClr val="312B57"/>
              </a:solidFill>
              <a:latin typeface="Comic Sans MS" panose="030F0702030302020204" pitchFamily="66" charset="0"/>
              <a:ea typeface="+mn-ea"/>
              <a:cs typeface="+mn-cs"/>
            </a:endParaRPr>
          </a:p>
        </xdr:txBody>
      </xdr:sp>
      <xdr:sp macro="" textlink="FinalAnalysis!H44">
        <xdr:nvSpPr>
          <xdr:cNvPr id="471" name="TextBox 470">
            <a:extLst>
              <a:ext uri="{FF2B5EF4-FFF2-40B4-BE49-F238E27FC236}">
                <a16:creationId xmlns:a16="http://schemas.microsoft.com/office/drawing/2014/main" id="{00000000-0008-0000-0000-0000D7010000}"/>
              </a:ext>
            </a:extLst>
          </xdr:cNvPr>
          <xdr:cNvSpPr txBox="1"/>
        </xdr:nvSpPr>
        <xdr:spPr>
          <a:xfrm>
            <a:off x="9708500" y="19198856"/>
            <a:ext cx="330021" cy="277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78587EA-4F0F-442D-AE64-9F702DF9279D}" type="TxLink">
              <a:rPr lang="en-US" sz="1200" b="1" i="0" u="none" strike="noStrike">
                <a:solidFill>
                  <a:srgbClr val="002060"/>
                </a:solidFill>
                <a:latin typeface="Comic Sans MS" panose="030F0702030302020204" pitchFamily="66" charset="0"/>
                <a:ea typeface="+mn-ea"/>
                <a:cs typeface="+mn-cs"/>
              </a:rPr>
              <a:pPr marL="0" indent="0" algn="r"/>
              <a:t>3</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44">
        <xdr:nvSpPr>
          <xdr:cNvPr id="472" name="TextBox 471">
            <a:extLst>
              <a:ext uri="{FF2B5EF4-FFF2-40B4-BE49-F238E27FC236}">
                <a16:creationId xmlns:a16="http://schemas.microsoft.com/office/drawing/2014/main" id="{00000000-0008-0000-0000-0000D8010000}"/>
              </a:ext>
            </a:extLst>
          </xdr:cNvPr>
          <xdr:cNvSpPr txBox="1"/>
        </xdr:nvSpPr>
        <xdr:spPr>
          <a:xfrm>
            <a:off x="10276458" y="19193610"/>
            <a:ext cx="315912" cy="259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4175693A-3CC1-4A76-8B80-A37BCD29D2AE}" type="TxLink">
              <a:rPr lang="en-US" sz="1200" b="1" i="0" u="none" strike="noStrike">
                <a:solidFill>
                  <a:srgbClr val="002060"/>
                </a:solidFill>
                <a:latin typeface="Comic Sans MS" panose="030F0702030302020204" pitchFamily="66" charset="0"/>
                <a:ea typeface="+mn-ea"/>
                <a:cs typeface="+mn-cs"/>
              </a:rPr>
              <a:pPr marL="0" indent="0" algn="r"/>
              <a:t>1</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44">
        <xdr:nvSpPr>
          <xdr:cNvPr id="473" name="TextBox 472">
            <a:extLst>
              <a:ext uri="{FF2B5EF4-FFF2-40B4-BE49-F238E27FC236}">
                <a16:creationId xmlns:a16="http://schemas.microsoft.com/office/drawing/2014/main" id="{00000000-0008-0000-0000-0000D9010000}"/>
              </a:ext>
            </a:extLst>
          </xdr:cNvPr>
          <xdr:cNvSpPr txBox="1"/>
        </xdr:nvSpPr>
        <xdr:spPr>
          <a:xfrm>
            <a:off x="7975165" y="20205710"/>
            <a:ext cx="740665" cy="257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7AAA14E2-89CA-4A6C-A018-38781EDD8D5C}" type="TxLink">
              <a:rPr lang="en-US" sz="1200" b="1" i="0" u="none" strike="noStrike">
                <a:solidFill>
                  <a:srgbClr val="002060"/>
                </a:solidFill>
                <a:latin typeface="Comic Sans MS" panose="030F0702030302020204" pitchFamily="66" charset="0"/>
                <a:ea typeface="Calibri"/>
                <a:cs typeface="Calibri"/>
              </a:rPr>
              <a:pPr marL="0" indent="0" algn="r"/>
              <a:t>₹1,26,000.00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44">
        <xdr:nvSpPr>
          <xdr:cNvPr id="474" name="TextBox 473">
            <a:extLst>
              <a:ext uri="{FF2B5EF4-FFF2-40B4-BE49-F238E27FC236}">
                <a16:creationId xmlns:a16="http://schemas.microsoft.com/office/drawing/2014/main" id="{00000000-0008-0000-0000-0000DA010000}"/>
              </a:ext>
            </a:extLst>
          </xdr:cNvPr>
          <xdr:cNvSpPr txBox="1"/>
        </xdr:nvSpPr>
        <xdr:spPr>
          <a:xfrm>
            <a:off x="7961935" y="20699776"/>
            <a:ext cx="740665" cy="4283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59A385D6-1CC8-4A57-B043-8D415A339ED1}" type="TxLink">
              <a:rPr lang="en-US" sz="1200" b="1" i="0" u="none" strike="noStrike">
                <a:solidFill>
                  <a:srgbClr val="002060"/>
                </a:solidFill>
                <a:latin typeface="Comic Sans MS" panose="030F0702030302020204" pitchFamily="66" charset="0"/>
                <a:ea typeface="Calibri"/>
                <a:cs typeface="Calibri"/>
              </a:rPr>
              <a:pPr marL="0" indent="0" algn="r"/>
              <a:t>₹71,500.00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44">
        <xdr:nvSpPr>
          <xdr:cNvPr id="475" name="TextBox 474">
            <a:extLst>
              <a:ext uri="{FF2B5EF4-FFF2-40B4-BE49-F238E27FC236}">
                <a16:creationId xmlns:a16="http://schemas.microsoft.com/office/drawing/2014/main" id="{00000000-0008-0000-0000-0000DB010000}"/>
              </a:ext>
            </a:extLst>
          </xdr:cNvPr>
          <xdr:cNvSpPr txBox="1"/>
        </xdr:nvSpPr>
        <xdr:spPr>
          <a:xfrm>
            <a:off x="8041310" y="21309667"/>
            <a:ext cx="740665" cy="372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E706C958-754B-4188-9710-15A528D92C1A}" type="TxLink">
              <a:rPr lang="en-US" sz="1200" b="1" i="0" u="none" strike="noStrike">
                <a:solidFill>
                  <a:srgbClr val="002060"/>
                </a:solidFill>
                <a:latin typeface="Comic Sans MS" panose="030F0702030302020204" pitchFamily="66" charset="0"/>
                <a:ea typeface="Calibri"/>
                <a:cs typeface="Calibri"/>
              </a:rPr>
              <a:pPr marL="0" indent="0" algn="r"/>
              <a:t>₹54,500.00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476" name="Group 475">
            <a:extLst>
              <a:ext uri="{FF2B5EF4-FFF2-40B4-BE49-F238E27FC236}">
                <a16:creationId xmlns:a16="http://schemas.microsoft.com/office/drawing/2014/main" id="{00000000-0008-0000-0000-0000DC010000}"/>
              </a:ext>
            </a:extLst>
          </xdr:cNvPr>
          <xdr:cNvGrpSpPr/>
        </xdr:nvGrpSpPr>
        <xdr:grpSpPr>
          <a:xfrm>
            <a:off x="8586085" y="21846901"/>
            <a:ext cx="3496718" cy="1194223"/>
            <a:chOff x="1893241" y="7278981"/>
            <a:chExt cx="3509076" cy="1223521"/>
          </a:xfrm>
        </xdr:grpSpPr>
        <xdr:cxnSp macro="">
          <xdr:nvCxnSpPr>
            <xdr:cNvPr id="477" name="Straight Connector 476">
              <a:extLst>
                <a:ext uri="{FF2B5EF4-FFF2-40B4-BE49-F238E27FC236}">
                  <a16:creationId xmlns:a16="http://schemas.microsoft.com/office/drawing/2014/main" id="{00000000-0008-0000-0000-0000DD010000}"/>
                </a:ext>
              </a:extLst>
            </xdr:cNvPr>
            <xdr:cNvCxnSpPr/>
          </xdr:nvCxnSpPr>
          <xdr:spPr>
            <a:xfrm>
              <a:off x="3061913" y="7349537"/>
              <a:ext cx="4208" cy="112944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78" name="Straight Connector 477">
              <a:extLst>
                <a:ext uri="{FF2B5EF4-FFF2-40B4-BE49-F238E27FC236}">
                  <a16:creationId xmlns:a16="http://schemas.microsoft.com/office/drawing/2014/main" id="{00000000-0008-0000-0000-0000DE010000}"/>
                </a:ext>
              </a:extLst>
            </xdr:cNvPr>
            <xdr:cNvCxnSpPr/>
          </xdr:nvCxnSpPr>
          <xdr:spPr>
            <a:xfrm>
              <a:off x="4230586" y="7396574"/>
              <a:ext cx="2448" cy="1093728"/>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79" name="Straight Connector 478">
              <a:extLst>
                <a:ext uri="{FF2B5EF4-FFF2-40B4-BE49-F238E27FC236}">
                  <a16:creationId xmlns:a16="http://schemas.microsoft.com/office/drawing/2014/main" id="{00000000-0008-0000-0000-0000DF010000}"/>
                </a:ext>
              </a:extLst>
            </xdr:cNvPr>
            <xdr:cNvCxnSpPr/>
          </xdr:nvCxnSpPr>
          <xdr:spPr>
            <a:xfrm>
              <a:off x="5397500" y="7361296"/>
              <a:ext cx="4817" cy="1095286"/>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cxnSp macro="">
          <xdr:nvCxnSpPr>
            <xdr:cNvPr id="480" name="Straight Connector 479">
              <a:extLst>
                <a:ext uri="{FF2B5EF4-FFF2-40B4-BE49-F238E27FC236}">
                  <a16:creationId xmlns:a16="http://schemas.microsoft.com/office/drawing/2014/main" id="{00000000-0008-0000-0000-0000E0010000}"/>
                </a:ext>
              </a:extLst>
            </xdr:cNvPr>
            <xdr:cNvCxnSpPr/>
          </xdr:nvCxnSpPr>
          <xdr:spPr>
            <a:xfrm>
              <a:off x="1893241" y="7278981"/>
              <a:ext cx="4207" cy="1223521"/>
            </a:xfrm>
            <a:prstGeom prst="line">
              <a:avLst/>
            </a:prstGeom>
            <a:ln w="19050">
              <a:solidFill>
                <a:srgbClr val="5F5490"/>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18</xdr:col>
      <xdr:colOff>202505</xdr:colOff>
      <xdr:row>23</xdr:row>
      <xdr:rowOff>149989</xdr:rowOff>
    </xdr:from>
    <xdr:to>
      <xdr:col>25</xdr:col>
      <xdr:colOff>50613</xdr:colOff>
      <xdr:row>47</xdr:row>
      <xdr:rowOff>127600</xdr:rowOff>
    </xdr:to>
    <xdr:grpSp>
      <xdr:nvGrpSpPr>
        <xdr:cNvPr id="514" name="Group 513">
          <a:extLst>
            <a:ext uri="{FF2B5EF4-FFF2-40B4-BE49-F238E27FC236}">
              <a16:creationId xmlns:a16="http://schemas.microsoft.com/office/drawing/2014/main" id="{00000000-0008-0000-0000-000002020000}"/>
            </a:ext>
          </a:extLst>
        </xdr:cNvPr>
        <xdr:cNvGrpSpPr/>
      </xdr:nvGrpSpPr>
      <xdr:grpSpPr>
        <a:xfrm>
          <a:off x="13526557" y="4430765"/>
          <a:ext cx="6132418" cy="4444507"/>
          <a:chOff x="6957191" y="4110667"/>
          <a:chExt cx="6140026" cy="4314984"/>
        </a:xfrm>
      </xdr:grpSpPr>
      <xdr:grpSp>
        <xdr:nvGrpSpPr>
          <xdr:cNvPr id="515" name="Group 514">
            <a:extLst>
              <a:ext uri="{FF2B5EF4-FFF2-40B4-BE49-F238E27FC236}">
                <a16:creationId xmlns:a16="http://schemas.microsoft.com/office/drawing/2014/main" id="{00000000-0008-0000-0000-000003020000}"/>
              </a:ext>
            </a:extLst>
          </xdr:cNvPr>
          <xdr:cNvGrpSpPr/>
        </xdr:nvGrpSpPr>
        <xdr:grpSpPr>
          <a:xfrm>
            <a:off x="6957191" y="4110667"/>
            <a:ext cx="6140026" cy="4314984"/>
            <a:chOff x="344766" y="4265801"/>
            <a:chExt cx="6055631" cy="4281500"/>
          </a:xfrm>
        </xdr:grpSpPr>
        <xdr:grpSp>
          <xdr:nvGrpSpPr>
            <xdr:cNvPr id="546" name="Group 545">
              <a:extLst>
                <a:ext uri="{FF2B5EF4-FFF2-40B4-BE49-F238E27FC236}">
                  <a16:creationId xmlns:a16="http://schemas.microsoft.com/office/drawing/2014/main" id="{00000000-0008-0000-0000-000022020000}"/>
                </a:ext>
              </a:extLst>
            </xdr:cNvPr>
            <xdr:cNvGrpSpPr>
              <a:grpSpLocks/>
            </xdr:cNvGrpSpPr>
          </xdr:nvGrpSpPr>
          <xdr:grpSpPr>
            <a:xfrm>
              <a:off x="344766" y="4265801"/>
              <a:ext cx="6055631" cy="4281500"/>
              <a:chOff x="4615628" y="16240125"/>
              <a:chExt cx="5388081" cy="4325195"/>
            </a:xfrm>
          </xdr:grpSpPr>
          <xdr:sp macro="" textlink="">
            <xdr:nvSpPr>
              <xdr:cNvPr id="555" name="Rectangle 554">
                <a:extLst>
                  <a:ext uri="{FF2B5EF4-FFF2-40B4-BE49-F238E27FC236}">
                    <a16:creationId xmlns:a16="http://schemas.microsoft.com/office/drawing/2014/main" id="{00000000-0008-0000-0000-00002B02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56" name="Group 555">
                <a:extLst>
                  <a:ext uri="{FF2B5EF4-FFF2-40B4-BE49-F238E27FC236}">
                    <a16:creationId xmlns:a16="http://schemas.microsoft.com/office/drawing/2014/main" id="{00000000-0008-0000-0000-00002C020000}"/>
                  </a:ext>
                </a:extLst>
              </xdr:cNvPr>
              <xdr:cNvGrpSpPr/>
            </xdr:nvGrpSpPr>
            <xdr:grpSpPr>
              <a:xfrm>
                <a:off x="4615628" y="16240125"/>
                <a:ext cx="5388081" cy="4325195"/>
                <a:chOff x="4615628" y="16240125"/>
                <a:chExt cx="5388081" cy="4325195"/>
              </a:xfrm>
            </xdr:grpSpPr>
            <xdr:sp macro="" textlink="">
              <xdr:nvSpPr>
                <xdr:cNvPr id="563" name="Rectangle: Rounded Corners 562">
                  <a:extLst>
                    <a:ext uri="{FF2B5EF4-FFF2-40B4-BE49-F238E27FC236}">
                      <a16:creationId xmlns:a16="http://schemas.microsoft.com/office/drawing/2014/main" id="{00000000-0008-0000-0000-00003302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64" name="Group 563">
                  <a:extLst>
                    <a:ext uri="{FF2B5EF4-FFF2-40B4-BE49-F238E27FC236}">
                      <a16:creationId xmlns:a16="http://schemas.microsoft.com/office/drawing/2014/main" id="{00000000-0008-0000-0000-000034020000}"/>
                    </a:ext>
                  </a:extLst>
                </xdr:cNvPr>
                <xdr:cNvGrpSpPr/>
              </xdr:nvGrpSpPr>
              <xdr:grpSpPr>
                <a:xfrm>
                  <a:off x="4615628" y="16240125"/>
                  <a:ext cx="5388081" cy="4325195"/>
                  <a:chOff x="4615628" y="16240125"/>
                  <a:chExt cx="5388081" cy="4325195"/>
                </a:xfrm>
              </xdr:grpSpPr>
              <xdr:sp macro="" textlink="">
                <xdr:nvSpPr>
                  <xdr:cNvPr id="566" name="TextBox 565">
                    <a:extLst>
                      <a:ext uri="{FF2B5EF4-FFF2-40B4-BE49-F238E27FC236}">
                        <a16:creationId xmlns:a16="http://schemas.microsoft.com/office/drawing/2014/main" id="{00000000-0008-0000-0000-000036020000}"/>
                      </a:ext>
                    </a:extLst>
                  </xdr:cNvPr>
                  <xdr:cNvSpPr txBox="1"/>
                </xdr:nvSpPr>
                <xdr:spPr>
                  <a:xfrm rot="10800000">
                    <a:off x="4616920" y="19139810"/>
                    <a:ext cx="5386535" cy="1425510"/>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567" name="TextBox 566">
                    <a:extLst>
                      <a:ext uri="{FF2B5EF4-FFF2-40B4-BE49-F238E27FC236}">
                        <a16:creationId xmlns:a16="http://schemas.microsoft.com/office/drawing/2014/main" id="{00000000-0008-0000-0000-000037020000}"/>
                      </a:ext>
                    </a:extLst>
                  </xdr:cNvPr>
                  <xdr:cNvSpPr txBox="1"/>
                </xdr:nvSpPr>
                <xdr:spPr>
                  <a:xfrm rot="5400000">
                    <a:off x="8531448" y="18482441"/>
                    <a:ext cx="2853472" cy="87824"/>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568" name="TextBox 567">
                    <a:extLst>
                      <a:ext uri="{FF2B5EF4-FFF2-40B4-BE49-F238E27FC236}">
                        <a16:creationId xmlns:a16="http://schemas.microsoft.com/office/drawing/2014/main" id="{00000000-0008-0000-0000-000038020000}"/>
                      </a:ext>
                    </a:extLst>
                  </xdr:cNvPr>
                  <xdr:cNvSpPr txBox="1"/>
                </xdr:nvSpPr>
                <xdr:spPr>
                  <a:xfrm>
                    <a:off x="4615628" y="16240125"/>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569" name="Rectangle 568">
                    <a:extLst>
                      <a:ext uri="{FF2B5EF4-FFF2-40B4-BE49-F238E27FC236}">
                        <a16:creationId xmlns:a16="http://schemas.microsoft.com/office/drawing/2014/main" id="{00000000-0008-0000-0000-000039020000}"/>
                      </a:ext>
                    </a:extLst>
                  </xdr:cNvPr>
                  <xdr:cNvSpPr/>
                </xdr:nvSpPr>
                <xdr:spPr>
                  <a:xfrm>
                    <a:off x="4617489" y="17304469"/>
                    <a:ext cx="1552110" cy="2531057"/>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65" name="Rectangle: Rounded Corners 564">
                  <a:extLst>
                    <a:ext uri="{FF2B5EF4-FFF2-40B4-BE49-F238E27FC236}">
                      <a16:creationId xmlns:a16="http://schemas.microsoft.com/office/drawing/2014/main" id="{00000000-0008-0000-0000-00003502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57" name="Rectangle: Rounded Corners 556">
                <a:extLst>
                  <a:ext uri="{FF2B5EF4-FFF2-40B4-BE49-F238E27FC236}">
                    <a16:creationId xmlns:a16="http://schemas.microsoft.com/office/drawing/2014/main" id="{00000000-0008-0000-0000-00002D02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8" name="Rectangle: Rounded Corners 557">
                <a:extLst>
                  <a:ext uri="{FF2B5EF4-FFF2-40B4-BE49-F238E27FC236}">
                    <a16:creationId xmlns:a16="http://schemas.microsoft.com/office/drawing/2014/main" id="{00000000-0008-0000-0000-00002E02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559" name="TextBox 558">
                <a:extLst>
                  <a:ext uri="{FF2B5EF4-FFF2-40B4-BE49-F238E27FC236}">
                    <a16:creationId xmlns:a16="http://schemas.microsoft.com/office/drawing/2014/main" id="{00000000-0008-0000-0000-00002F02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560" name="TextBox 559">
                <a:extLst>
                  <a:ext uri="{FF2B5EF4-FFF2-40B4-BE49-F238E27FC236}">
                    <a16:creationId xmlns:a16="http://schemas.microsoft.com/office/drawing/2014/main" id="{00000000-0008-0000-0000-000030020000}"/>
                  </a:ext>
                </a:extLst>
              </xdr:cNvPr>
              <xdr:cNvSpPr txBox="1"/>
            </xdr:nvSpPr>
            <xdr:spPr>
              <a:xfrm>
                <a:off x="5288167" y="18621340"/>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561" name="TextBox 560">
                <a:extLst>
                  <a:ext uri="{FF2B5EF4-FFF2-40B4-BE49-F238E27FC236}">
                    <a16:creationId xmlns:a16="http://schemas.microsoft.com/office/drawing/2014/main" id="{00000000-0008-0000-0000-000031020000}"/>
                  </a:ext>
                </a:extLst>
              </xdr:cNvPr>
              <xdr:cNvSpPr txBox="1"/>
            </xdr:nvSpPr>
            <xdr:spPr>
              <a:xfrm>
                <a:off x="4882350" y="17471741"/>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562" name="Rectangle: Rounded Corners 561">
                <a:extLst>
                  <a:ext uri="{FF2B5EF4-FFF2-40B4-BE49-F238E27FC236}">
                    <a16:creationId xmlns:a16="http://schemas.microsoft.com/office/drawing/2014/main" id="{00000000-0008-0000-0000-00003202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547" name="Group 546">
              <a:extLst>
                <a:ext uri="{FF2B5EF4-FFF2-40B4-BE49-F238E27FC236}">
                  <a16:creationId xmlns:a16="http://schemas.microsoft.com/office/drawing/2014/main" id="{00000000-0008-0000-0000-000023020000}"/>
                </a:ext>
              </a:extLst>
            </xdr:cNvPr>
            <xdr:cNvGrpSpPr/>
          </xdr:nvGrpSpPr>
          <xdr:grpSpPr>
            <a:xfrm>
              <a:off x="483811" y="7299688"/>
              <a:ext cx="5557778" cy="914201"/>
              <a:chOff x="483811" y="7299688"/>
              <a:chExt cx="5557778" cy="914201"/>
            </a:xfrm>
          </xdr:grpSpPr>
          <xdr:sp macro="" textlink="">
            <xdr:nvSpPr>
              <xdr:cNvPr id="548" name="TextBox 547">
                <a:extLst>
                  <a:ext uri="{FF2B5EF4-FFF2-40B4-BE49-F238E27FC236}">
                    <a16:creationId xmlns:a16="http://schemas.microsoft.com/office/drawing/2014/main" id="{00000000-0008-0000-0000-00002402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549" name="TextBox 548">
                <a:extLst>
                  <a:ext uri="{FF2B5EF4-FFF2-40B4-BE49-F238E27FC236}">
                    <a16:creationId xmlns:a16="http://schemas.microsoft.com/office/drawing/2014/main" id="{00000000-0008-0000-0000-00002502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550" name="TextBox 549">
                <a:extLst>
                  <a:ext uri="{FF2B5EF4-FFF2-40B4-BE49-F238E27FC236}">
                    <a16:creationId xmlns:a16="http://schemas.microsoft.com/office/drawing/2014/main" id="{00000000-0008-0000-0000-00002602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551" name="TextBox 550">
                <a:extLst>
                  <a:ext uri="{FF2B5EF4-FFF2-40B4-BE49-F238E27FC236}">
                    <a16:creationId xmlns:a16="http://schemas.microsoft.com/office/drawing/2014/main" id="{00000000-0008-0000-0000-00002702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552" name="TextBox 551">
                <a:extLst>
                  <a:ext uri="{FF2B5EF4-FFF2-40B4-BE49-F238E27FC236}">
                    <a16:creationId xmlns:a16="http://schemas.microsoft.com/office/drawing/2014/main" id="{00000000-0008-0000-0000-00002802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553" name="TextBox 552">
                <a:extLst>
                  <a:ext uri="{FF2B5EF4-FFF2-40B4-BE49-F238E27FC236}">
                    <a16:creationId xmlns:a16="http://schemas.microsoft.com/office/drawing/2014/main" id="{00000000-0008-0000-0000-00002902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554" name="TextBox 553">
                <a:extLst>
                  <a:ext uri="{FF2B5EF4-FFF2-40B4-BE49-F238E27FC236}">
                    <a16:creationId xmlns:a16="http://schemas.microsoft.com/office/drawing/2014/main" id="{00000000-0008-0000-0000-00002A02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pic>
        <xdr:nvPicPr>
          <xdr:cNvPr id="516" name="Picture 515">
            <a:extLst>
              <a:ext uri="{FF2B5EF4-FFF2-40B4-BE49-F238E27FC236}">
                <a16:creationId xmlns:a16="http://schemas.microsoft.com/office/drawing/2014/main" id="{00000000-0008-0000-0000-000004020000}"/>
              </a:ext>
            </a:extLst>
          </xdr:cNvPr>
          <xdr:cNvPicPr>
            <a:picLocks noChangeAspect="1"/>
          </xdr:cNvPicPr>
        </xdr:nvPicPr>
        <xdr:blipFill>
          <a:blip xmlns:r="http://schemas.openxmlformats.org/officeDocument/2006/relationships" r:embed="rId15"/>
          <a:stretch>
            <a:fillRect/>
          </a:stretch>
        </xdr:blipFill>
        <xdr:spPr>
          <a:xfrm>
            <a:off x="7241901" y="4321720"/>
            <a:ext cx="1072042" cy="598332"/>
          </a:xfrm>
          <a:prstGeom prst="rect">
            <a:avLst/>
          </a:prstGeom>
        </xdr:spPr>
      </xdr:pic>
      <xdr:sp macro="" textlink="FinalAnalysis!C62">
        <xdr:nvSpPr>
          <xdr:cNvPr id="517" name="TextBox 516">
            <a:extLst>
              <a:ext uri="{FF2B5EF4-FFF2-40B4-BE49-F238E27FC236}">
                <a16:creationId xmlns:a16="http://schemas.microsoft.com/office/drawing/2014/main" id="{00000000-0008-0000-0000-000005020000}"/>
              </a:ext>
            </a:extLst>
          </xdr:cNvPr>
          <xdr:cNvSpPr txBox="1"/>
        </xdr:nvSpPr>
        <xdr:spPr>
          <a:xfrm>
            <a:off x="8594731" y="758342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333E550-3C64-4B3C-B4C4-DB9708B273CF}" type="TxLink">
              <a:rPr lang="en-US" sz="1100" b="1" i="0" u="none" strike="noStrike">
                <a:solidFill>
                  <a:srgbClr val="002060"/>
                </a:solidFill>
                <a:latin typeface="Comic Sans MS" panose="030F0702030302020204" pitchFamily="66" charset="0"/>
                <a:ea typeface="Calibri"/>
                <a:cs typeface="Calibri"/>
              </a:rPr>
              <a:pPr marL="0" indent="0" algn="r"/>
              <a:t>₹ 1,15,625.00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H62">
        <xdr:nvSpPr>
          <xdr:cNvPr id="518" name="TextBox 517">
            <a:extLst>
              <a:ext uri="{FF2B5EF4-FFF2-40B4-BE49-F238E27FC236}">
                <a16:creationId xmlns:a16="http://schemas.microsoft.com/office/drawing/2014/main" id="{00000000-0008-0000-0000-000006020000}"/>
              </a:ext>
            </a:extLst>
          </xdr:cNvPr>
          <xdr:cNvSpPr txBox="1"/>
        </xdr:nvSpPr>
        <xdr:spPr>
          <a:xfrm>
            <a:off x="9715611" y="759156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405B4D9-FE06-438F-A488-BE46B3134D00}" type="TxLink">
              <a:rPr lang="en-US" sz="1100" b="1" i="0" u="none" strike="noStrike">
                <a:solidFill>
                  <a:srgbClr val="002060"/>
                </a:solidFill>
                <a:latin typeface="Comic Sans MS" panose="030F0702030302020204" pitchFamily="66" charset="0"/>
                <a:ea typeface="Calibri"/>
                <a:cs typeface="Calibri"/>
              </a:rPr>
              <a:pPr marL="0" indent="0" algn="r"/>
              <a:t>₹ 20,000.00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M62">
        <xdr:nvSpPr>
          <xdr:cNvPr id="519" name="TextBox 518">
            <a:extLst>
              <a:ext uri="{FF2B5EF4-FFF2-40B4-BE49-F238E27FC236}">
                <a16:creationId xmlns:a16="http://schemas.microsoft.com/office/drawing/2014/main" id="{00000000-0008-0000-0000-000007020000}"/>
              </a:ext>
            </a:extLst>
          </xdr:cNvPr>
          <xdr:cNvSpPr txBox="1"/>
        </xdr:nvSpPr>
        <xdr:spPr>
          <a:xfrm>
            <a:off x="10888022" y="760376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0F40AB3-CC13-4F79-AA16-5E2C770F5F43}" type="TxLink">
              <a:rPr lang="en-US" sz="1100" b="1" i="0" u="none" strike="noStrike">
                <a:solidFill>
                  <a:srgbClr val="002060"/>
                </a:solidFill>
                <a:latin typeface="Comic Sans MS" panose="030F0702030302020204" pitchFamily="66" charset="0"/>
                <a:ea typeface="Calibri"/>
                <a:cs typeface="Calibri"/>
              </a:rPr>
              <a:pPr marL="0" indent="0" algn="r"/>
              <a:t>₹ 11,000.00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S62">
        <xdr:nvSpPr>
          <xdr:cNvPr id="520" name="TextBox 519">
            <a:extLst>
              <a:ext uri="{FF2B5EF4-FFF2-40B4-BE49-F238E27FC236}">
                <a16:creationId xmlns:a16="http://schemas.microsoft.com/office/drawing/2014/main" id="{00000000-0008-0000-0000-000008020000}"/>
              </a:ext>
            </a:extLst>
          </xdr:cNvPr>
          <xdr:cNvSpPr txBox="1"/>
        </xdr:nvSpPr>
        <xdr:spPr>
          <a:xfrm>
            <a:off x="11772083" y="762000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CDA58DB3-3A12-46F9-8785-7436B79A3171}" type="TxLink">
              <a:rPr lang="en-US" sz="1100" b="1" i="0" u="none" strike="noStrike">
                <a:solidFill>
                  <a:srgbClr val="002060"/>
                </a:solidFill>
                <a:latin typeface="Comic Sans MS" panose="030F0702030302020204" pitchFamily="66" charset="0"/>
                <a:ea typeface="Calibri"/>
                <a:cs typeface="Calibri"/>
              </a:rPr>
              <a:pPr marL="0" indent="0" algn="r"/>
              <a:t>₹ 62,000.00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D62">
        <xdr:nvSpPr>
          <xdr:cNvPr id="521" name="TextBox 520">
            <a:extLst>
              <a:ext uri="{FF2B5EF4-FFF2-40B4-BE49-F238E27FC236}">
                <a16:creationId xmlns:a16="http://schemas.microsoft.com/office/drawing/2014/main" id="{00000000-0008-0000-0000-000009020000}"/>
              </a:ext>
            </a:extLst>
          </xdr:cNvPr>
          <xdr:cNvSpPr txBox="1"/>
        </xdr:nvSpPr>
        <xdr:spPr>
          <a:xfrm>
            <a:off x="8584651" y="785727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9638CE8E-8E34-489F-BF3F-E1275DC99E1D}" type="TxLink">
              <a:rPr lang="en-US" sz="1100" b="1" i="0" u="none" strike="noStrike">
                <a:solidFill>
                  <a:srgbClr val="002060"/>
                </a:solidFill>
                <a:latin typeface="Comic Sans MS" panose="030F0702030302020204" pitchFamily="66" charset="0"/>
                <a:ea typeface="Calibri"/>
                <a:cs typeface="Calibri"/>
              </a:rPr>
              <a:pPr marL="0" indent="0" algn="r"/>
              <a:t>-₹ 3,125.00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I62">
        <xdr:nvSpPr>
          <xdr:cNvPr id="522" name="TextBox 521">
            <a:extLst>
              <a:ext uri="{FF2B5EF4-FFF2-40B4-BE49-F238E27FC236}">
                <a16:creationId xmlns:a16="http://schemas.microsoft.com/office/drawing/2014/main" id="{00000000-0008-0000-0000-00000A020000}"/>
              </a:ext>
            </a:extLst>
          </xdr:cNvPr>
          <xdr:cNvSpPr txBox="1"/>
        </xdr:nvSpPr>
        <xdr:spPr>
          <a:xfrm>
            <a:off x="9705531" y="786541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DF448261-79D3-4C0E-A008-F9FC9B0844A4}" type="TxLink">
              <a:rPr lang="en-US" sz="1100" b="1" i="0" u="none" strike="noStrike">
                <a:solidFill>
                  <a:srgbClr val="002060"/>
                </a:solidFill>
                <a:latin typeface="Comic Sans MS" panose="030F0702030302020204" pitchFamily="66" charset="0"/>
                <a:ea typeface="Calibri"/>
                <a:cs typeface="Calibri"/>
              </a:rPr>
              <a:pPr marL="0" indent="0" algn="r"/>
              <a:t>-₹ 5,000.00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N62">
        <xdr:nvSpPr>
          <xdr:cNvPr id="523" name="TextBox 522">
            <a:extLst>
              <a:ext uri="{FF2B5EF4-FFF2-40B4-BE49-F238E27FC236}">
                <a16:creationId xmlns:a16="http://schemas.microsoft.com/office/drawing/2014/main" id="{00000000-0008-0000-0000-00000B020000}"/>
              </a:ext>
            </a:extLst>
          </xdr:cNvPr>
          <xdr:cNvSpPr txBox="1"/>
        </xdr:nvSpPr>
        <xdr:spPr>
          <a:xfrm>
            <a:off x="10888022" y="787761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CF6FF18-0EEB-4F9D-9B43-814B57A62EC4}" type="TxLink">
              <a:rPr lang="en-US" sz="1100" b="1" i="0" u="none" strike="noStrike">
                <a:solidFill>
                  <a:srgbClr val="002060"/>
                </a:solidFill>
                <a:latin typeface="Comic Sans MS" panose="030F0702030302020204" pitchFamily="66" charset="0"/>
                <a:ea typeface="Calibri"/>
                <a:cs typeface="Calibri"/>
              </a:rPr>
              <a:pPr marL="0" indent="0" algn="r"/>
              <a:t>-₹ 1,000.00</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T62">
        <xdr:nvSpPr>
          <xdr:cNvPr id="524" name="TextBox 523">
            <a:extLst>
              <a:ext uri="{FF2B5EF4-FFF2-40B4-BE49-F238E27FC236}">
                <a16:creationId xmlns:a16="http://schemas.microsoft.com/office/drawing/2014/main" id="{00000000-0008-0000-0000-00000C020000}"/>
              </a:ext>
            </a:extLst>
          </xdr:cNvPr>
          <xdr:cNvSpPr txBox="1"/>
        </xdr:nvSpPr>
        <xdr:spPr>
          <a:xfrm>
            <a:off x="11762003" y="788875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85E7E657-7864-4BA1-9D6E-649AA4252BED}" type="TxLink">
              <a:rPr lang="en-US" sz="1100" b="1" i="0" u="none" strike="noStrike">
                <a:solidFill>
                  <a:srgbClr val="002060"/>
                </a:solidFill>
                <a:latin typeface="Comic Sans MS" panose="030F0702030302020204" pitchFamily="66" charset="0"/>
                <a:ea typeface="Calibri"/>
                <a:cs typeface="Calibri"/>
              </a:rPr>
              <a:pPr marL="0" indent="0" algn="r"/>
              <a:t>₹ 1,13,000.00</a:t>
            </a:fld>
            <a:endParaRPr lang="en-US" sz="1100" b="1" i="0" u="none" strike="noStrike">
              <a:solidFill>
                <a:srgbClr val="002060"/>
              </a:solidFill>
              <a:latin typeface="Comic Sans MS" panose="030F0702030302020204" pitchFamily="66" charset="0"/>
              <a:ea typeface="+mn-ea"/>
              <a:cs typeface="+mn-cs"/>
            </a:endParaRPr>
          </a:p>
        </xdr:txBody>
      </xdr:sp>
      <xdr:grpSp>
        <xdr:nvGrpSpPr>
          <xdr:cNvPr id="525" name="Group 524">
            <a:extLst>
              <a:ext uri="{FF2B5EF4-FFF2-40B4-BE49-F238E27FC236}">
                <a16:creationId xmlns:a16="http://schemas.microsoft.com/office/drawing/2014/main" id="{00000000-0008-0000-0000-00000D020000}"/>
              </a:ext>
            </a:extLst>
          </xdr:cNvPr>
          <xdr:cNvGrpSpPr/>
        </xdr:nvGrpSpPr>
        <xdr:grpSpPr>
          <a:xfrm>
            <a:off x="8760379" y="4345568"/>
            <a:ext cx="4187695" cy="679285"/>
            <a:chOff x="9772834" y="16020484"/>
            <a:chExt cx="4173657" cy="658653"/>
          </a:xfrm>
        </xdr:grpSpPr>
        <xdr:sp macro="" textlink="">
          <xdr:nvSpPr>
            <xdr:cNvPr id="539" name="Rectangle: Rounded Corners 538">
              <a:extLst>
                <a:ext uri="{FF2B5EF4-FFF2-40B4-BE49-F238E27FC236}">
                  <a16:creationId xmlns:a16="http://schemas.microsoft.com/office/drawing/2014/main" id="{00000000-0008-0000-0000-00001B02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40" name="Rectangle: Rounded Corners 539">
              <a:extLst>
                <a:ext uri="{FF2B5EF4-FFF2-40B4-BE49-F238E27FC236}">
                  <a16:creationId xmlns:a16="http://schemas.microsoft.com/office/drawing/2014/main" id="{00000000-0008-0000-0000-00001C02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541" name="Straight Connector 540">
              <a:extLst>
                <a:ext uri="{FF2B5EF4-FFF2-40B4-BE49-F238E27FC236}">
                  <a16:creationId xmlns:a16="http://schemas.microsoft.com/office/drawing/2014/main" id="{00000000-0008-0000-0000-00001D020000}"/>
                </a:ext>
              </a:extLst>
            </xdr:cNvPr>
            <xdr:cNvCxnSpPr/>
          </xdr:nvCxnSpPr>
          <xdr:spPr>
            <a:xfrm>
              <a:off x="10469988" y="16088862"/>
              <a:ext cx="1790" cy="52627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000-00001E020000}"/>
                </a:ext>
              </a:extLst>
            </xdr:cNvPr>
            <xdr:cNvCxnSpPr>
              <a:endCxn id="563" idx="0"/>
            </xdr:cNvCxnSpPr>
          </xdr:nvCxnSpPr>
          <xdr:spPr>
            <a:xfrm>
              <a:off x="11079777" y="16109939"/>
              <a:ext cx="0" cy="56919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sp macro="" textlink="">
          <xdr:nvSpPr>
            <xdr:cNvPr id="543" name="TextBox 542">
              <a:extLst>
                <a:ext uri="{FF2B5EF4-FFF2-40B4-BE49-F238E27FC236}">
                  <a16:creationId xmlns:a16="http://schemas.microsoft.com/office/drawing/2014/main" id="{00000000-0008-0000-0000-00001F02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544" name="TextBox 543">
              <a:extLst>
                <a:ext uri="{FF2B5EF4-FFF2-40B4-BE49-F238E27FC236}">
                  <a16:creationId xmlns:a16="http://schemas.microsoft.com/office/drawing/2014/main" id="{00000000-0008-0000-0000-00002002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545" name="TextBox 544">
              <a:extLst>
                <a:ext uri="{FF2B5EF4-FFF2-40B4-BE49-F238E27FC236}">
                  <a16:creationId xmlns:a16="http://schemas.microsoft.com/office/drawing/2014/main" id="{00000000-0008-0000-0000-00002102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FinalAnalysis!C30">
        <xdr:nvSpPr>
          <xdr:cNvPr id="526" name="TextBox 525">
            <a:extLst>
              <a:ext uri="{FF2B5EF4-FFF2-40B4-BE49-F238E27FC236}">
                <a16:creationId xmlns:a16="http://schemas.microsoft.com/office/drawing/2014/main" id="{00000000-0008-0000-0000-00000E020000}"/>
              </a:ext>
            </a:extLst>
          </xdr:cNvPr>
          <xdr:cNvSpPr txBox="1"/>
        </xdr:nvSpPr>
        <xdr:spPr>
          <a:xfrm>
            <a:off x="11055558" y="4513530"/>
            <a:ext cx="679722" cy="2642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C750736E-95E0-47B2-A492-6C45829C9A8C}"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
        <xdr:nvSpPr>
          <xdr:cNvPr id="527" name="TextBox 526">
            <a:extLst>
              <a:ext uri="{FF2B5EF4-FFF2-40B4-BE49-F238E27FC236}">
                <a16:creationId xmlns:a16="http://schemas.microsoft.com/office/drawing/2014/main" id="{00000000-0008-0000-0000-00000F020000}"/>
              </a:ext>
            </a:extLst>
          </xdr:cNvPr>
          <xdr:cNvSpPr txBox="1"/>
        </xdr:nvSpPr>
        <xdr:spPr>
          <a:xfrm>
            <a:off x="12199628" y="4646532"/>
            <a:ext cx="657371" cy="302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J35">
        <xdr:nvSpPr>
          <xdr:cNvPr id="528" name="TextBox 527">
            <a:extLst>
              <a:ext uri="{FF2B5EF4-FFF2-40B4-BE49-F238E27FC236}">
                <a16:creationId xmlns:a16="http://schemas.microsoft.com/office/drawing/2014/main" id="{00000000-0008-0000-0000-000010020000}"/>
              </a:ext>
            </a:extLst>
          </xdr:cNvPr>
          <xdr:cNvSpPr txBox="1"/>
        </xdr:nvSpPr>
        <xdr:spPr>
          <a:xfrm>
            <a:off x="9043982" y="4565590"/>
            <a:ext cx="326494" cy="2611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C674FFD9-65A2-477F-965B-69C1C85FFDF9}" type="TxLink">
              <a:rPr lang="en-US" sz="1600" b="1" i="0" u="none" strike="noStrike">
                <a:solidFill>
                  <a:srgbClr val="002060"/>
                </a:solidFill>
                <a:latin typeface="Comic Sans MS" panose="030F0702030302020204" pitchFamily="66" charset="0"/>
                <a:ea typeface="+mn-ea"/>
                <a:cs typeface="+mn-cs"/>
              </a:rPr>
              <a:pPr marL="0" indent="0" algn="r"/>
              <a:t>19</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35">
        <xdr:nvSpPr>
          <xdr:cNvPr id="529" name="TextBox 528">
            <a:extLst>
              <a:ext uri="{FF2B5EF4-FFF2-40B4-BE49-F238E27FC236}">
                <a16:creationId xmlns:a16="http://schemas.microsoft.com/office/drawing/2014/main" id="{00000000-0008-0000-0000-000011020000}"/>
              </a:ext>
            </a:extLst>
          </xdr:cNvPr>
          <xdr:cNvSpPr txBox="1"/>
        </xdr:nvSpPr>
        <xdr:spPr>
          <a:xfrm>
            <a:off x="9520483" y="4558302"/>
            <a:ext cx="330021" cy="2760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DC0798F6-FDE9-4364-B9D3-6F962B899F56}" type="TxLink">
              <a:rPr lang="en-US" sz="1200" b="1" i="0" u="none" strike="noStrike">
                <a:solidFill>
                  <a:srgbClr val="002060"/>
                </a:solidFill>
                <a:latin typeface="Comic Sans MS" panose="030F0702030302020204" pitchFamily="66" charset="0"/>
                <a:ea typeface="+mn-ea"/>
                <a:cs typeface="+mn-cs"/>
              </a:rPr>
              <a:pPr marL="0" indent="0" algn="r"/>
              <a:t>8</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35">
        <xdr:nvSpPr>
          <xdr:cNvPr id="530" name="TextBox 529">
            <a:extLst>
              <a:ext uri="{FF2B5EF4-FFF2-40B4-BE49-F238E27FC236}">
                <a16:creationId xmlns:a16="http://schemas.microsoft.com/office/drawing/2014/main" id="{00000000-0008-0000-0000-000012020000}"/>
              </a:ext>
            </a:extLst>
          </xdr:cNvPr>
          <xdr:cNvSpPr txBox="1"/>
        </xdr:nvSpPr>
        <xdr:spPr>
          <a:xfrm>
            <a:off x="10107598" y="4564085"/>
            <a:ext cx="315912" cy="2581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CF9012C0-6E7D-41C9-8256-A7816D83B624}" type="TxLink">
              <a:rPr lang="en-US" sz="1200" b="1" i="0" u="none" strike="noStrike">
                <a:solidFill>
                  <a:srgbClr val="002060"/>
                </a:solidFill>
                <a:latin typeface="Comic Sans MS" panose="030F0702030302020204" pitchFamily="66" charset="0"/>
                <a:ea typeface="+mn-ea"/>
                <a:cs typeface="+mn-cs"/>
              </a:rPr>
              <a:pPr marL="0" indent="0" algn="r"/>
              <a:t>11</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35">
        <xdr:nvSpPr>
          <xdr:cNvPr id="531" name="TextBox 530">
            <a:extLst>
              <a:ext uri="{FF2B5EF4-FFF2-40B4-BE49-F238E27FC236}">
                <a16:creationId xmlns:a16="http://schemas.microsoft.com/office/drawing/2014/main" id="{00000000-0008-0000-0000-000013020000}"/>
              </a:ext>
            </a:extLst>
          </xdr:cNvPr>
          <xdr:cNvSpPr txBox="1"/>
        </xdr:nvSpPr>
        <xdr:spPr>
          <a:xfrm>
            <a:off x="7884498" y="5612573"/>
            <a:ext cx="749554" cy="2441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D21988AE-1EDC-4E48-B32E-2E50EE2FAD55}" type="TxLink">
              <a:rPr lang="en-US" sz="1100" b="1" i="0" u="none" strike="noStrike">
                <a:solidFill>
                  <a:srgbClr val="002060"/>
                </a:solidFill>
                <a:latin typeface="Comic Sans MS" panose="030F0702030302020204" pitchFamily="66" charset="0"/>
                <a:ea typeface="Calibri"/>
                <a:cs typeface="Calibri"/>
              </a:rPr>
              <a:pPr marL="0" indent="0" algn="r"/>
              <a:t>₹2,88,750.00 </a:t>
            </a:fld>
            <a:endParaRPr lang="en-US" sz="1100" b="1" i="0" u="none" strike="noStrike">
              <a:solidFill>
                <a:srgbClr val="002060"/>
              </a:solidFill>
              <a:latin typeface="Comic Sans MS" panose="030F0702030302020204" pitchFamily="66" charset="0"/>
              <a:ea typeface="+mn-ea"/>
              <a:cs typeface="+mn-cs"/>
            </a:endParaRPr>
          </a:p>
        </xdr:txBody>
      </xdr:sp>
      <xdr:sp macro="" textlink="FinalAnalysis!F35">
        <xdr:nvSpPr>
          <xdr:cNvPr id="532" name="TextBox 531">
            <a:extLst>
              <a:ext uri="{FF2B5EF4-FFF2-40B4-BE49-F238E27FC236}">
                <a16:creationId xmlns:a16="http://schemas.microsoft.com/office/drawing/2014/main" id="{00000000-0008-0000-0000-000014020000}"/>
              </a:ext>
            </a:extLst>
          </xdr:cNvPr>
          <xdr:cNvSpPr txBox="1"/>
        </xdr:nvSpPr>
        <xdr:spPr>
          <a:xfrm>
            <a:off x="7884498" y="6144732"/>
            <a:ext cx="749554" cy="376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8E656B45-73B7-442E-A66F-4AD581BE8825}" type="TxLink">
              <a:rPr lang="en-US" sz="1100" b="1" i="0" u="none" strike="noStrike">
                <a:solidFill>
                  <a:srgbClr val="002060"/>
                </a:solidFill>
                <a:latin typeface="Comic Sans MS" panose="030F0702030302020204" pitchFamily="66" charset="0"/>
                <a:ea typeface="Calibri"/>
                <a:cs typeface="Calibri"/>
              </a:rPr>
              <a:pPr marL="0" indent="0" algn="r"/>
              <a:t>₹2,08,625.00 </a:t>
            </a:fld>
            <a:endParaRPr lang="en-IN" sz="1100" b="1" i="0" u="none" strike="noStrike">
              <a:solidFill>
                <a:srgbClr val="002060"/>
              </a:solidFill>
              <a:latin typeface="Comic Sans MS" panose="030F0702030302020204" pitchFamily="66" charset="0"/>
              <a:ea typeface="+mn-ea"/>
              <a:cs typeface="+mn-cs"/>
            </a:endParaRPr>
          </a:p>
        </xdr:txBody>
      </xdr:sp>
      <xdr:sp macro="" textlink="FinalAnalysis!G35">
        <xdr:nvSpPr>
          <xdr:cNvPr id="533" name="TextBox 532">
            <a:extLst>
              <a:ext uri="{FF2B5EF4-FFF2-40B4-BE49-F238E27FC236}">
                <a16:creationId xmlns:a16="http://schemas.microsoft.com/office/drawing/2014/main" id="{00000000-0008-0000-0000-000015020000}"/>
              </a:ext>
            </a:extLst>
          </xdr:cNvPr>
          <xdr:cNvSpPr txBox="1"/>
        </xdr:nvSpPr>
        <xdr:spPr>
          <a:xfrm>
            <a:off x="7884498" y="6685819"/>
            <a:ext cx="749554" cy="361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40029332-B6B6-4879-BA4F-C8CA26CDB53A}" type="TxLink">
              <a:rPr lang="en-US" sz="1100" b="1" i="0" u="none" strike="noStrike">
                <a:solidFill>
                  <a:srgbClr val="002060"/>
                </a:solidFill>
                <a:latin typeface="Comic Sans MS" panose="030F0702030302020204" pitchFamily="66" charset="0"/>
                <a:ea typeface="Calibri"/>
                <a:cs typeface="Calibri"/>
              </a:rPr>
              <a:pPr marL="0" indent="0" algn="r"/>
              <a:t>₹80,125.00 </a:t>
            </a:fld>
            <a:endParaRPr lang="en-IN" sz="1100" b="1" i="0" u="none" strike="noStrike">
              <a:solidFill>
                <a:srgbClr val="002060"/>
              </a:solidFill>
              <a:latin typeface="Comic Sans MS" panose="030F0702030302020204" pitchFamily="66" charset="0"/>
              <a:ea typeface="+mn-ea"/>
              <a:cs typeface="+mn-cs"/>
            </a:endParaRPr>
          </a:p>
        </xdr:txBody>
      </xdr:sp>
      <xdr:grpSp>
        <xdr:nvGrpSpPr>
          <xdr:cNvPr id="534" name="Group 533">
            <a:extLst>
              <a:ext uri="{FF2B5EF4-FFF2-40B4-BE49-F238E27FC236}">
                <a16:creationId xmlns:a16="http://schemas.microsoft.com/office/drawing/2014/main" id="{00000000-0008-0000-0000-000016020000}"/>
              </a:ext>
            </a:extLst>
          </xdr:cNvPr>
          <xdr:cNvGrpSpPr/>
        </xdr:nvGrpSpPr>
        <xdr:grpSpPr>
          <a:xfrm>
            <a:off x="8439756" y="7140840"/>
            <a:ext cx="3520238" cy="1220105"/>
            <a:chOff x="1893241" y="7278981"/>
            <a:chExt cx="3509076" cy="1223521"/>
          </a:xfrm>
        </xdr:grpSpPr>
        <xdr:cxnSp macro="">
          <xdr:nvCxnSpPr>
            <xdr:cNvPr id="535" name="Straight Connector 534">
              <a:extLst>
                <a:ext uri="{FF2B5EF4-FFF2-40B4-BE49-F238E27FC236}">
                  <a16:creationId xmlns:a16="http://schemas.microsoft.com/office/drawing/2014/main" id="{00000000-0008-0000-0000-000017020000}"/>
                </a:ext>
              </a:extLst>
            </xdr:cNvPr>
            <xdr:cNvCxnSpPr/>
          </xdr:nvCxnSpPr>
          <xdr:spPr>
            <a:xfrm>
              <a:off x="3061913" y="734953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000-00001802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000-000019020000}"/>
                </a:ext>
              </a:extLst>
            </xdr:cNvPr>
            <xdr:cNvCxnSpPr/>
          </xdr:nvCxnSpPr>
          <xdr:spPr>
            <a:xfrm>
              <a:off x="5397500" y="7361296"/>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000-00001A020000}"/>
                </a:ext>
              </a:extLst>
            </xdr:cNvPr>
            <xdr:cNvCxnSpPr/>
          </xdr:nvCxnSpPr>
          <xdr:spPr>
            <a:xfrm>
              <a:off x="1893241" y="7278981"/>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10</xdr:col>
      <xdr:colOff>306551</xdr:colOff>
      <xdr:row>50</xdr:row>
      <xdr:rowOff>149991</xdr:rowOff>
    </xdr:from>
    <xdr:to>
      <xdr:col>15</xdr:col>
      <xdr:colOff>519934</xdr:colOff>
      <xdr:row>75</xdr:row>
      <xdr:rowOff>23500</xdr:rowOff>
    </xdr:to>
    <xdr:grpSp>
      <xdr:nvGrpSpPr>
        <xdr:cNvPr id="570" name="Group 569">
          <a:extLst>
            <a:ext uri="{FF2B5EF4-FFF2-40B4-BE49-F238E27FC236}">
              <a16:creationId xmlns:a16="http://schemas.microsoft.com/office/drawing/2014/main" id="{00000000-0008-0000-0000-00003A020000}"/>
            </a:ext>
          </a:extLst>
        </xdr:cNvPr>
        <xdr:cNvGrpSpPr/>
      </xdr:nvGrpSpPr>
      <xdr:grpSpPr>
        <a:xfrm>
          <a:off x="6853620" y="9456025"/>
          <a:ext cx="6114504" cy="4526527"/>
          <a:chOff x="365927" y="8971586"/>
          <a:chExt cx="6125824" cy="4318509"/>
        </a:xfrm>
      </xdr:grpSpPr>
      <xdr:grpSp>
        <xdr:nvGrpSpPr>
          <xdr:cNvPr id="571" name="Group 570">
            <a:extLst>
              <a:ext uri="{FF2B5EF4-FFF2-40B4-BE49-F238E27FC236}">
                <a16:creationId xmlns:a16="http://schemas.microsoft.com/office/drawing/2014/main" id="{00000000-0008-0000-0000-00003B020000}"/>
              </a:ext>
            </a:extLst>
          </xdr:cNvPr>
          <xdr:cNvGrpSpPr/>
        </xdr:nvGrpSpPr>
        <xdr:grpSpPr>
          <a:xfrm>
            <a:off x="365927" y="8971586"/>
            <a:ext cx="6125824" cy="4318509"/>
            <a:chOff x="344766" y="4265801"/>
            <a:chExt cx="6055631" cy="4281500"/>
          </a:xfrm>
        </xdr:grpSpPr>
        <xdr:grpSp>
          <xdr:nvGrpSpPr>
            <xdr:cNvPr id="602" name="Group 601">
              <a:extLst>
                <a:ext uri="{FF2B5EF4-FFF2-40B4-BE49-F238E27FC236}">
                  <a16:creationId xmlns:a16="http://schemas.microsoft.com/office/drawing/2014/main" id="{00000000-0008-0000-0000-00005A020000}"/>
                </a:ext>
              </a:extLst>
            </xdr:cNvPr>
            <xdr:cNvGrpSpPr>
              <a:grpSpLocks/>
            </xdr:cNvGrpSpPr>
          </xdr:nvGrpSpPr>
          <xdr:grpSpPr>
            <a:xfrm>
              <a:off x="344766" y="4265801"/>
              <a:ext cx="6055631" cy="4281500"/>
              <a:chOff x="4615628" y="16240125"/>
              <a:chExt cx="5388081" cy="4325195"/>
            </a:xfrm>
          </xdr:grpSpPr>
          <xdr:sp macro="" textlink="">
            <xdr:nvSpPr>
              <xdr:cNvPr id="611" name="Rectangle 610">
                <a:extLst>
                  <a:ext uri="{FF2B5EF4-FFF2-40B4-BE49-F238E27FC236}">
                    <a16:creationId xmlns:a16="http://schemas.microsoft.com/office/drawing/2014/main" id="{00000000-0008-0000-0000-00006302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12" name="Group 611">
                <a:extLst>
                  <a:ext uri="{FF2B5EF4-FFF2-40B4-BE49-F238E27FC236}">
                    <a16:creationId xmlns:a16="http://schemas.microsoft.com/office/drawing/2014/main" id="{00000000-0008-0000-0000-000064020000}"/>
                  </a:ext>
                </a:extLst>
              </xdr:cNvPr>
              <xdr:cNvGrpSpPr/>
            </xdr:nvGrpSpPr>
            <xdr:grpSpPr>
              <a:xfrm>
                <a:off x="4615628" y="16240125"/>
                <a:ext cx="5388081" cy="4325195"/>
                <a:chOff x="4615628" y="16240125"/>
                <a:chExt cx="5388081" cy="4325195"/>
              </a:xfrm>
            </xdr:grpSpPr>
            <xdr:sp macro="" textlink="">
              <xdr:nvSpPr>
                <xdr:cNvPr id="619" name="Rectangle: Rounded Corners 618">
                  <a:extLst>
                    <a:ext uri="{FF2B5EF4-FFF2-40B4-BE49-F238E27FC236}">
                      <a16:creationId xmlns:a16="http://schemas.microsoft.com/office/drawing/2014/main" id="{00000000-0008-0000-0000-00006B02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20" name="Group 619">
                  <a:extLst>
                    <a:ext uri="{FF2B5EF4-FFF2-40B4-BE49-F238E27FC236}">
                      <a16:creationId xmlns:a16="http://schemas.microsoft.com/office/drawing/2014/main" id="{00000000-0008-0000-0000-00006C020000}"/>
                    </a:ext>
                  </a:extLst>
                </xdr:cNvPr>
                <xdr:cNvGrpSpPr/>
              </xdr:nvGrpSpPr>
              <xdr:grpSpPr>
                <a:xfrm>
                  <a:off x="4615628" y="16240125"/>
                  <a:ext cx="5388081" cy="4325195"/>
                  <a:chOff x="4615628" y="16240125"/>
                  <a:chExt cx="5388081" cy="4325195"/>
                </a:xfrm>
              </xdr:grpSpPr>
              <xdr:sp macro="" textlink="">
                <xdr:nvSpPr>
                  <xdr:cNvPr id="622" name="TextBox 621">
                    <a:extLst>
                      <a:ext uri="{FF2B5EF4-FFF2-40B4-BE49-F238E27FC236}">
                        <a16:creationId xmlns:a16="http://schemas.microsoft.com/office/drawing/2014/main" id="{00000000-0008-0000-0000-00006E020000}"/>
                      </a:ext>
                    </a:extLst>
                  </xdr:cNvPr>
                  <xdr:cNvSpPr txBox="1"/>
                </xdr:nvSpPr>
                <xdr:spPr>
                  <a:xfrm rot="10800000">
                    <a:off x="4616920" y="19139810"/>
                    <a:ext cx="5386535" cy="1425510"/>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623" name="TextBox 622">
                    <a:extLst>
                      <a:ext uri="{FF2B5EF4-FFF2-40B4-BE49-F238E27FC236}">
                        <a16:creationId xmlns:a16="http://schemas.microsoft.com/office/drawing/2014/main" id="{00000000-0008-0000-0000-00006F020000}"/>
                      </a:ext>
                    </a:extLst>
                  </xdr:cNvPr>
                  <xdr:cNvSpPr txBox="1"/>
                </xdr:nvSpPr>
                <xdr:spPr>
                  <a:xfrm rot="5400000">
                    <a:off x="8531448" y="18482441"/>
                    <a:ext cx="2853472" cy="87824"/>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624" name="TextBox 623">
                    <a:extLst>
                      <a:ext uri="{FF2B5EF4-FFF2-40B4-BE49-F238E27FC236}">
                        <a16:creationId xmlns:a16="http://schemas.microsoft.com/office/drawing/2014/main" id="{00000000-0008-0000-0000-000070020000}"/>
                      </a:ext>
                    </a:extLst>
                  </xdr:cNvPr>
                  <xdr:cNvSpPr txBox="1"/>
                </xdr:nvSpPr>
                <xdr:spPr>
                  <a:xfrm>
                    <a:off x="4615628" y="16240125"/>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625" name="Rectangle 624">
                    <a:extLst>
                      <a:ext uri="{FF2B5EF4-FFF2-40B4-BE49-F238E27FC236}">
                        <a16:creationId xmlns:a16="http://schemas.microsoft.com/office/drawing/2014/main" id="{00000000-0008-0000-0000-000071020000}"/>
                      </a:ext>
                    </a:extLst>
                  </xdr:cNvPr>
                  <xdr:cNvSpPr/>
                </xdr:nvSpPr>
                <xdr:spPr>
                  <a:xfrm>
                    <a:off x="4617489" y="17304469"/>
                    <a:ext cx="1552110" cy="2531057"/>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21" name="Rectangle: Rounded Corners 620">
                  <a:extLst>
                    <a:ext uri="{FF2B5EF4-FFF2-40B4-BE49-F238E27FC236}">
                      <a16:creationId xmlns:a16="http://schemas.microsoft.com/office/drawing/2014/main" id="{00000000-0008-0000-0000-00006D02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13" name="Rectangle: Rounded Corners 612">
                <a:extLst>
                  <a:ext uri="{FF2B5EF4-FFF2-40B4-BE49-F238E27FC236}">
                    <a16:creationId xmlns:a16="http://schemas.microsoft.com/office/drawing/2014/main" id="{00000000-0008-0000-0000-00006502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4" name="Rectangle: Rounded Corners 613">
                <a:extLst>
                  <a:ext uri="{FF2B5EF4-FFF2-40B4-BE49-F238E27FC236}">
                    <a16:creationId xmlns:a16="http://schemas.microsoft.com/office/drawing/2014/main" id="{00000000-0008-0000-0000-00006602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15" name="TextBox 614">
                <a:extLst>
                  <a:ext uri="{FF2B5EF4-FFF2-40B4-BE49-F238E27FC236}">
                    <a16:creationId xmlns:a16="http://schemas.microsoft.com/office/drawing/2014/main" id="{00000000-0008-0000-0000-00006702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616" name="TextBox 615">
                <a:extLst>
                  <a:ext uri="{FF2B5EF4-FFF2-40B4-BE49-F238E27FC236}">
                    <a16:creationId xmlns:a16="http://schemas.microsoft.com/office/drawing/2014/main" id="{00000000-0008-0000-0000-000068020000}"/>
                  </a:ext>
                </a:extLst>
              </xdr:cNvPr>
              <xdr:cNvSpPr txBox="1"/>
            </xdr:nvSpPr>
            <xdr:spPr>
              <a:xfrm>
                <a:off x="5296264" y="1857557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617" name="TextBox 616">
                <a:extLst>
                  <a:ext uri="{FF2B5EF4-FFF2-40B4-BE49-F238E27FC236}">
                    <a16:creationId xmlns:a16="http://schemas.microsoft.com/office/drawing/2014/main" id="{00000000-0008-0000-0000-000069020000}"/>
                  </a:ext>
                </a:extLst>
              </xdr:cNvPr>
              <xdr:cNvSpPr txBox="1"/>
            </xdr:nvSpPr>
            <xdr:spPr>
              <a:xfrm>
                <a:off x="4882350" y="17437236"/>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618" name="Rectangle: Rounded Corners 617">
                <a:extLst>
                  <a:ext uri="{FF2B5EF4-FFF2-40B4-BE49-F238E27FC236}">
                    <a16:creationId xmlns:a16="http://schemas.microsoft.com/office/drawing/2014/main" id="{00000000-0008-0000-0000-00006A02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603" name="Group 602">
              <a:extLst>
                <a:ext uri="{FF2B5EF4-FFF2-40B4-BE49-F238E27FC236}">
                  <a16:creationId xmlns:a16="http://schemas.microsoft.com/office/drawing/2014/main" id="{00000000-0008-0000-0000-00005B020000}"/>
                </a:ext>
              </a:extLst>
            </xdr:cNvPr>
            <xdr:cNvGrpSpPr/>
          </xdr:nvGrpSpPr>
          <xdr:grpSpPr>
            <a:xfrm>
              <a:off x="483811" y="7299688"/>
              <a:ext cx="5557778" cy="914201"/>
              <a:chOff x="483811" y="7299688"/>
              <a:chExt cx="5557778" cy="914201"/>
            </a:xfrm>
          </xdr:grpSpPr>
          <xdr:sp macro="" textlink="">
            <xdr:nvSpPr>
              <xdr:cNvPr id="604" name="TextBox 603">
                <a:extLst>
                  <a:ext uri="{FF2B5EF4-FFF2-40B4-BE49-F238E27FC236}">
                    <a16:creationId xmlns:a16="http://schemas.microsoft.com/office/drawing/2014/main" id="{00000000-0008-0000-0000-00005C02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605" name="TextBox 604">
                <a:extLst>
                  <a:ext uri="{FF2B5EF4-FFF2-40B4-BE49-F238E27FC236}">
                    <a16:creationId xmlns:a16="http://schemas.microsoft.com/office/drawing/2014/main" id="{00000000-0008-0000-0000-00005D02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606" name="TextBox 605">
                <a:extLst>
                  <a:ext uri="{FF2B5EF4-FFF2-40B4-BE49-F238E27FC236}">
                    <a16:creationId xmlns:a16="http://schemas.microsoft.com/office/drawing/2014/main" id="{00000000-0008-0000-0000-00005E02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607" name="TextBox 606">
                <a:extLst>
                  <a:ext uri="{FF2B5EF4-FFF2-40B4-BE49-F238E27FC236}">
                    <a16:creationId xmlns:a16="http://schemas.microsoft.com/office/drawing/2014/main" id="{00000000-0008-0000-0000-00005F02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608" name="TextBox 607">
                <a:extLst>
                  <a:ext uri="{FF2B5EF4-FFF2-40B4-BE49-F238E27FC236}">
                    <a16:creationId xmlns:a16="http://schemas.microsoft.com/office/drawing/2014/main" id="{00000000-0008-0000-0000-00006002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609" name="TextBox 608">
                <a:extLst>
                  <a:ext uri="{FF2B5EF4-FFF2-40B4-BE49-F238E27FC236}">
                    <a16:creationId xmlns:a16="http://schemas.microsoft.com/office/drawing/2014/main" id="{00000000-0008-0000-0000-00006102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610" name="TextBox 609">
                <a:extLst>
                  <a:ext uri="{FF2B5EF4-FFF2-40B4-BE49-F238E27FC236}">
                    <a16:creationId xmlns:a16="http://schemas.microsoft.com/office/drawing/2014/main" id="{00000000-0008-0000-0000-00006202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sp macro="" textlink="">
        <xdr:nvSpPr>
          <xdr:cNvPr id="572" name="TextBox 571">
            <a:extLst>
              <a:ext uri="{FF2B5EF4-FFF2-40B4-BE49-F238E27FC236}">
                <a16:creationId xmlns:a16="http://schemas.microsoft.com/office/drawing/2014/main" id="{00000000-0008-0000-0000-00003C020000}"/>
              </a:ext>
            </a:extLst>
          </xdr:cNvPr>
          <xdr:cNvSpPr txBox="1"/>
        </xdr:nvSpPr>
        <xdr:spPr>
          <a:xfrm>
            <a:off x="385518" y="9144900"/>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II</a:t>
            </a:r>
            <a:endParaRPr lang="en-IN" sz="3100" b="1" spc="200" baseline="0">
              <a:solidFill>
                <a:schemeClr val="bg1"/>
              </a:solidFill>
              <a:latin typeface="Calisto MT" panose="02040603050505030304" pitchFamily="18" charset="0"/>
            </a:endParaRPr>
          </a:p>
        </xdr:txBody>
      </xdr:sp>
      <xdr:sp macro="" textlink="FinalAnalysis!C64">
        <xdr:nvSpPr>
          <xdr:cNvPr id="573" name="TextBox 572">
            <a:extLst>
              <a:ext uri="{FF2B5EF4-FFF2-40B4-BE49-F238E27FC236}">
                <a16:creationId xmlns:a16="http://schemas.microsoft.com/office/drawing/2014/main" id="{00000000-0008-0000-0000-00003D020000}"/>
              </a:ext>
            </a:extLst>
          </xdr:cNvPr>
          <xdr:cNvSpPr txBox="1"/>
        </xdr:nvSpPr>
        <xdr:spPr>
          <a:xfrm>
            <a:off x="1988524" y="1245481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F3D69A4-43DE-49E5-9043-36AB6037D7C8}" type="TxLink">
              <a:rPr lang="en-US" sz="1200" b="1" i="0" u="none" strike="noStrike">
                <a:solidFill>
                  <a:srgbClr val="002060"/>
                </a:solidFill>
                <a:latin typeface="Comic Sans MS" panose="030F0702030302020204" pitchFamily="66" charset="0"/>
                <a:ea typeface="Calibri"/>
                <a:cs typeface="Calibri"/>
              </a:rPr>
              <a:pPr marL="0" indent="0" algn="r"/>
              <a:t>₹ 85,500.00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4">
        <xdr:nvSpPr>
          <xdr:cNvPr id="574" name="TextBox 573">
            <a:extLst>
              <a:ext uri="{FF2B5EF4-FFF2-40B4-BE49-F238E27FC236}">
                <a16:creationId xmlns:a16="http://schemas.microsoft.com/office/drawing/2014/main" id="{00000000-0008-0000-0000-00003E020000}"/>
              </a:ext>
            </a:extLst>
          </xdr:cNvPr>
          <xdr:cNvSpPr txBox="1"/>
        </xdr:nvSpPr>
        <xdr:spPr>
          <a:xfrm>
            <a:off x="3178114" y="1247408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87976B1A-1B10-4BAC-9EFB-135F87906A29}" type="TxLink">
              <a:rPr lang="en-US" sz="1200" b="1" i="0" u="none" strike="noStrike">
                <a:solidFill>
                  <a:srgbClr val="002060"/>
                </a:solidFill>
                <a:latin typeface="Comic Sans MS" panose="030F0702030302020204" pitchFamily="66" charset="0"/>
                <a:ea typeface="Calibri"/>
                <a:cs typeface="Calibri"/>
              </a:rPr>
              <a:pPr marL="0" indent="0" algn="r"/>
              <a:t>₹ 22,000.00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4">
        <xdr:nvSpPr>
          <xdr:cNvPr id="575" name="TextBox 574">
            <a:extLst>
              <a:ext uri="{FF2B5EF4-FFF2-40B4-BE49-F238E27FC236}">
                <a16:creationId xmlns:a16="http://schemas.microsoft.com/office/drawing/2014/main" id="{00000000-0008-0000-0000-00003F020000}"/>
              </a:ext>
            </a:extLst>
          </xdr:cNvPr>
          <xdr:cNvSpPr txBox="1"/>
        </xdr:nvSpPr>
        <xdr:spPr>
          <a:xfrm>
            <a:off x="4377063" y="1244660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090827DB-71D8-4D16-8622-5FF215BB07AC}" type="TxLink">
              <a:rPr lang="en-US" sz="1200" b="1" i="0" u="none" strike="noStrike">
                <a:solidFill>
                  <a:srgbClr val="002060"/>
                </a:solidFill>
                <a:latin typeface="Comic Sans MS" panose="030F0702030302020204" pitchFamily="66" charset="0"/>
                <a:ea typeface="Calibri"/>
                <a:cs typeface="Calibri"/>
              </a:rPr>
              <a:pPr marL="0" indent="0" algn="r"/>
              <a:t>₹ 10,000.00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4">
        <xdr:nvSpPr>
          <xdr:cNvPr id="576" name="TextBox 575">
            <a:extLst>
              <a:ext uri="{FF2B5EF4-FFF2-40B4-BE49-F238E27FC236}">
                <a16:creationId xmlns:a16="http://schemas.microsoft.com/office/drawing/2014/main" id="{00000000-0008-0000-0000-000040020000}"/>
              </a:ext>
            </a:extLst>
          </xdr:cNvPr>
          <xdr:cNvSpPr txBox="1"/>
        </xdr:nvSpPr>
        <xdr:spPr>
          <a:xfrm>
            <a:off x="5266847" y="1245774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3601AEB-3845-4FAE-955F-FD0D549C2CB7}" type="TxLink">
              <a:rPr lang="en-US" sz="1200" b="1" i="0" u="none" strike="noStrike">
                <a:solidFill>
                  <a:srgbClr val="002060"/>
                </a:solidFill>
                <a:latin typeface="Comic Sans MS" panose="030F0702030302020204" pitchFamily="66" charset="0"/>
                <a:ea typeface="Calibri"/>
                <a:cs typeface="Calibri"/>
              </a:rPr>
              <a:pPr marL="0" indent="0" algn="r"/>
              <a:t>₹ 26,100.00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4">
        <xdr:nvSpPr>
          <xdr:cNvPr id="577" name="TextBox 576">
            <a:extLst>
              <a:ext uri="{FF2B5EF4-FFF2-40B4-BE49-F238E27FC236}">
                <a16:creationId xmlns:a16="http://schemas.microsoft.com/office/drawing/2014/main" id="{00000000-0008-0000-0000-000041020000}"/>
              </a:ext>
            </a:extLst>
          </xdr:cNvPr>
          <xdr:cNvSpPr txBox="1"/>
        </xdr:nvSpPr>
        <xdr:spPr>
          <a:xfrm>
            <a:off x="1988524" y="1272843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A17C672-C2CC-4FE1-ADC0-C171FB6AD9CD}" type="TxLink">
              <a:rPr lang="en-US" sz="1200" b="1" i="0" u="none" strike="noStrike">
                <a:solidFill>
                  <a:srgbClr val="002060"/>
                </a:solidFill>
                <a:latin typeface="Comic Sans MS" panose="030F0702030302020204" pitchFamily="66" charset="0"/>
                <a:ea typeface="Calibri"/>
                <a:cs typeface="Calibri"/>
              </a:rPr>
              <a:pPr marL="0" indent="0" algn="r"/>
              <a:t>-₹ 22,500.00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4">
        <xdr:nvSpPr>
          <xdr:cNvPr id="578" name="TextBox 577">
            <a:extLst>
              <a:ext uri="{FF2B5EF4-FFF2-40B4-BE49-F238E27FC236}">
                <a16:creationId xmlns:a16="http://schemas.microsoft.com/office/drawing/2014/main" id="{00000000-0008-0000-0000-000042020000}"/>
              </a:ext>
            </a:extLst>
          </xdr:cNvPr>
          <xdr:cNvSpPr txBox="1"/>
        </xdr:nvSpPr>
        <xdr:spPr>
          <a:xfrm>
            <a:off x="3168034" y="1275281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42CE942F-1E70-4BB5-AC50-FAB3DC299522}" type="TxLink">
              <a:rPr lang="en-US" sz="1200" b="1" i="0" u="none" strike="noStrike">
                <a:solidFill>
                  <a:srgbClr val="002060"/>
                </a:solidFill>
                <a:latin typeface="Comic Sans MS" panose="030F0702030302020204" pitchFamily="66" charset="0"/>
                <a:ea typeface="Calibri"/>
                <a:cs typeface="Calibri"/>
              </a:rPr>
              <a:pPr marL="0" indent="0" algn="r"/>
              <a:t>₹ 13,000.00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4">
        <xdr:nvSpPr>
          <xdr:cNvPr id="579" name="TextBox 578">
            <a:extLst>
              <a:ext uri="{FF2B5EF4-FFF2-40B4-BE49-F238E27FC236}">
                <a16:creationId xmlns:a16="http://schemas.microsoft.com/office/drawing/2014/main" id="{00000000-0008-0000-0000-000043020000}"/>
              </a:ext>
            </a:extLst>
          </xdr:cNvPr>
          <xdr:cNvSpPr txBox="1"/>
        </xdr:nvSpPr>
        <xdr:spPr>
          <a:xfrm>
            <a:off x="4377063" y="1271535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9AF6623-EE5E-465C-9C17-FC2A0537A687}" type="TxLink">
              <a:rPr lang="en-US" sz="1200" b="1" i="0" u="none" strike="noStrike">
                <a:solidFill>
                  <a:srgbClr val="002060"/>
                </a:solidFill>
                <a:latin typeface="Comic Sans MS" panose="030F0702030302020204" pitchFamily="66" charset="0"/>
                <a:ea typeface="Calibri"/>
                <a:cs typeface="Calibri"/>
              </a:rPr>
              <a:pPr marL="0" indent="0" algn="r"/>
              <a:t>₹ 3,000.00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4">
        <xdr:nvSpPr>
          <xdr:cNvPr id="580" name="TextBox 579">
            <a:extLst>
              <a:ext uri="{FF2B5EF4-FFF2-40B4-BE49-F238E27FC236}">
                <a16:creationId xmlns:a16="http://schemas.microsoft.com/office/drawing/2014/main" id="{00000000-0008-0000-0000-000044020000}"/>
              </a:ext>
            </a:extLst>
          </xdr:cNvPr>
          <xdr:cNvSpPr txBox="1"/>
        </xdr:nvSpPr>
        <xdr:spPr>
          <a:xfrm>
            <a:off x="5256767" y="1272649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792BC98E-AA8D-4E9A-9A01-6AD38AC56BD2}" type="TxLink">
              <a:rPr lang="en-US" sz="1200" b="1" i="0" u="none" strike="noStrike">
                <a:solidFill>
                  <a:srgbClr val="002060"/>
                </a:solidFill>
                <a:latin typeface="Comic Sans MS" panose="030F0702030302020204" pitchFamily="66" charset="0"/>
                <a:ea typeface="Calibri"/>
                <a:cs typeface="Calibri"/>
              </a:rPr>
              <a:pPr marL="0" indent="0" algn="r"/>
              <a:t>₹ 76,400.00</a:t>
            </a:fld>
            <a:endParaRPr lang="en-US" sz="1200" b="1" i="0" u="none" strike="noStrike">
              <a:solidFill>
                <a:srgbClr val="002060"/>
              </a:solidFill>
              <a:latin typeface="Comic Sans MS" panose="030F0702030302020204" pitchFamily="66" charset="0"/>
              <a:ea typeface="+mn-ea"/>
              <a:cs typeface="+mn-cs"/>
            </a:endParaRPr>
          </a:p>
        </xdr:txBody>
      </xdr:sp>
      <xdr:grpSp>
        <xdr:nvGrpSpPr>
          <xdr:cNvPr id="581" name="Group 580">
            <a:extLst>
              <a:ext uri="{FF2B5EF4-FFF2-40B4-BE49-F238E27FC236}">
                <a16:creationId xmlns:a16="http://schemas.microsoft.com/office/drawing/2014/main" id="{00000000-0008-0000-0000-000045020000}"/>
              </a:ext>
            </a:extLst>
          </xdr:cNvPr>
          <xdr:cNvGrpSpPr/>
        </xdr:nvGrpSpPr>
        <xdr:grpSpPr>
          <a:xfrm>
            <a:off x="2065090" y="9112039"/>
            <a:ext cx="4221486" cy="617933"/>
            <a:chOff x="9772834" y="16020484"/>
            <a:chExt cx="4173657" cy="595815"/>
          </a:xfrm>
        </xdr:grpSpPr>
        <xdr:sp macro="" textlink="">
          <xdr:nvSpPr>
            <xdr:cNvPr id="595" name="Rectangle: Rounded Corners 594">
              <a:extLst>
                <a:ext uri="{FF2B5EF4-FFF2-40B4-BE49-F238E27FC236}">
                  <a16:creationId xmlns:a16="http://schemas.microsoft.com/office/drawing/2014/main" id="{00000000-0008-0000-0000-00005302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96" name="Rectangle: Rounded Corners 595">
              <a:extLst>
                <a:ext uri="{FF2B5EF4-FFF2-40B4-BE49-F238E27FC236}">
                  <a16:creationId xmlns:a16="http://schemas.microsoft.com/office/drawing/2014/main" id="{00000000-0008-0000-0000-00005402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597" name="Straight Connector 596">
              <a:extLst>
                <a:ext uri="{FF2B5EF4-FFF2-40B4-BE49-F238E27FC236}">
                  <a16:creationId xmlns:a16="http://schemas.microsoft.com/office/drawing/2014/main" id="{00000000-0008-0000-0000-000055020000}"/>
                </a:ext>
              </a:extLst>
            </xdr:cNvPr>
            <xdr:cNvCxnSpPr/>
          </xdr:nvCxnSpPr>
          <xdr:spPr>
            <a:xfrm>
              <a:off x="10466812" y="16090026"/>
              <a:ext cx="1790" cy="52627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000-000056020000}"/>
                </a:ext>
              </a:extLst>
            </xdr:cNvPr>
            <xdr:cNvCxnSpPr/>
          </xdr:nvCxnSpPr>
          <xdr:spPr>
            <a:xfrm>
              <a:off x="11098469" y="16073671"/>
              <a:ext cx="7669" cy="51995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sp macro="" textlink="">
          <xdr:nvSpPr>
            <xdr:cNvPr id="599" name="TextBox 598">
              <a:extLst>
                <a:ext uri="{FF2B5EF4-FFF2-40B4-BE49-F238E27FC236}">
                  <a16:creationId xmlns:a16="http://schemas.microsoft.com/office/drawing/2014/main" id="{00000000-0008-0000-0000-00005702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600" name="TextBox 599">
              <a:extLst>
                <a:ext uri="{FF2B5EF4-FFF2-40B4-BE49-F238E27FC236}">
                  <a16:creationId xmlns:a16="http://schemas.microsoft.com/office/drawing/2014/main" id="{00000000-0008-0000-0000-00005802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601" name="TextBox 600">
              <a:extLst>
                <a:ext uri="{FF2B5EF4-FFF2-40B4-BE49-F238E27FC236}">
                  <a16:creationId xmlns:a16="http://schemas.microsoft.com/office/drawing/2014/main" id="{00000000-0008-0000-0000-00005902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582" name="TextBox 581">
            <a:extLst>
              <a:ext uri="{FF2B5EF4-FFF2-40B4-BE49-F238E27FC236}">
                <a16:creationId xmlns:a16="http://schemas.microsoft.com/office/drawing/2014/main" id="{00000000-0008-0000-0000-000046020000}"/>
              </a:ext>
            </a:extLst>
          </xdr:cNvPr>
          <xdr:cNvSpPr txBox="1"/>
        </xdr:nvSpPr>
        <xdr:spPr>
          <a:xfrm>
            <a:off x="5499361" y="9403553"/>
            <a:ext cx="693426" cy="295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C30">
        <xdr:nvSpPr>
          <xdr:cNvPr id="583" name="TextBox 582">
            <a:extLst>
              <a:ext uri="{FF2B5EF4-FFF2-40B4-BE49-F238E27FC236}">
                <a16:creationId xmlns:a16="http://schemas.microsoft.com/office/drawing/2014/main" id="{00000000-0008-0000-0000-000047020000}"/>
              </a:ext>
            </a:extLst>
          </xdr:cNvPr>
          <xdr:cNvSpPr txBox="1"/>
        </xdr:nvSpPr>
        <xdr:spPr>
          <a:xfrm>
            <a:off x="4383526" y="9284243"/>
            <a:ext cx="681792" cy="2613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5B59104C-49D8-4510-BED6-ABD556106DD6}"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FinalAnalysis!J37">
        <xdr:nvSpPr>
          <xdr:cNvPr id="584" name="TextBox 583">
            <a:extLst>
              <a:ext uri="{FF2B5EF4-FFF2-40B4-BE49-F238E27FC236}">
                <a16:creationId xmlns:a16="http://schemas.microsoft.com/office/drawing/2014/main" id="{00000000-0008-0000-0000-000048020000}"/>
              </a:ext>
            </a:extLst>
          </xdr:cNvPr>
          <xdr:cNvSpPr txBox="1"/>
        </xdr:nvSpPr>
        <xdr:spPr>
          <a:xfrm>
            <a:off x="2314266" y="9320493"/>
            <a:ext cx="326494"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3CF16498-2545-434B-A348-4D87AF819508}" type="TxLink">
              <a:rPr lang="en-US" sz="1600" b="1" i="0" u="none" strike="noStrike">
                <a:solidFill>
                  <a:srgbClr val="002060"/>
                </a:solidFill>
                <a:latin typeface="Comic Sans MS" panose="030F0702030302020204" pitchFamily="66" charset="0"/>
                <a:ea typeface="+mn-ea"/>
                <a:cs typeface="+mn-cs"/>
              </a:rPr>
              <a:pPr marL="0" indent="0" algn="r"/>
              <a:t>10</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37">
        <xdr:nvSpPr>
          <xdr:cNvPr id="585" name="TextBox 584">
            <a:extLst>
              <a:ext uri="{FF2B5EF4-FFF2-40B4-BE49-F238E27FC236}">
                <a16:creationId xmlns:a16="http://schemas.microsoft.com/office/drawing/2014/main" id="{00000000-0008-0000-0000-000049020000}"/>
              </a:ext>
            </a:extLst>
          </xdr:cNvPr>
          <xdr:cNvSpPr txBox="1"/>
        </xdr:nvSpPr>
        <xdr:spPr>
          <a:xfrm>
            <a:off x="2867591" y="9314710"/>
            <a:ext cx="330021" cy="2795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1D7FA99-C934-4030-80D5-F607ACB53FFE}" type="TxLink">
              <a:rPr lang="en-US" sz="1200" b="1" i="0" u="none" strike="noStrike">
                <a:solidFill>
                  <a:srgbClr val="002060"/>
                </a:solidFill>
                <a:latin typeface="Comic Sans MS" panose="030F0702030302020204" pitchFamily="66" charset="0"/>
                <a:ea typeface="+mn-ea"/>
                <a:cs typeface="+mn-cs"/>
              </a:rPr>
              <a:pPr marL="0" indent="0" algn="r"/>
              <a:t>8</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37">
        <xdr:nvSpPr>
          <xdr:cNvPr id="586" name="TextBox 585">
            <a:extLst>
              <a:ext uri="{FF2B5EF4-FFF2-40B4-BE49-F238E27FC236}">
                <a16:creationId xmlns:a16="http://schemas.microsoft.com/office/drawing/2014/main" id="{00000000-0008-0000-0000-00004A020000}"/>
              </a:ext>
            </a:extLst>
          </xdr:cNvPr>
          <xdr:cNvSpPr txBox="1"/>
        </xdr:nvSpPr>
        <xdr:spPr>
          <a:xfrm>
            <a:off x="3497985" y="9331256"/>
            <a:ext cx="315912"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B1FC44E7-A24F-42E1-96C6-6526D94556EB}" type="TxLink">
              <a:rPr lang="en-US" sz="1200" b="1" i="0" u="none" strike="noStrike">
                <a:solidFill>
                  <a:srgbClr val="002060"/>
                </a:solidFill>
                <a:latin typeface="Comic Sans MS" panose="030F0702030302020204" pitchFamily="66" charset="0"/>
                <a:ea typeface="+mn-ea"/>
                <a:cs typeface="+mn-cs"/>
              </a:rPr>
              <a:pPr marL="0" indent="0" algn="r"/>
              <a:t>2</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37">
        <xdr:nvSpPr>
          <xdr:cNvPr id="587" name="TextBox 586">
            <a:extLst>
              <a:ext uri="{FF2B5EF4-FFF2-40B4-BE49-F238E27FC236}">
                <a16:creationId xmlns:a16="http://schemas.microsoft.com/office/drawing/2014/main" id="{00000000-0008-0000-0000-00004B020000}"/>
              </a:ext>
            </a:extLst>
          </xdr:cNvPr>
          <xdr:cNvSpPr txBox="1"/>
        </xdr:nvSpPr>
        <xdr:spPr>
          <a:xfrm>
            <a:off x="1227553" y="10459015"/>
            <a:ext cx="746914" cy="24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3FF9DFD-4583-4056-9215-1BB1A8B38CD5}" type="TxLink">
              <a:rPr lang="en-US" sz="1200" b="1" i="0" u="none" strike="noStrike">
                <a:solidFill>
                  <a:srgbClr val="002060"/>
                </a:solidFill>
                <a:latin typeface="Comic Sans MS" panose="030F0702030302020204" pitchFamily="66" charset="0"/>
                <a:ea typeface="Calibri"/>
                <a:cs typeface="Calibri"/>
              </a:rPr>
              <a:pPr marL="0" indent="0" algn="r"/>
              <a:t>₹2,05,000.00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37">
        <xdr:nvSpPr>
          <xdr:cNvPr id="588" name="TextBox 587">
            <a:extLst>
              <a:ext uri="{FF2B5EF4-FFF2-40B4-BE49-F238E27FC236}">
                <a16:creationId xmlns:a16="http://schemas.microsoft.com/office/drawing/2014/main" id="{00000000-0008-0000-0000-00004C020000}"/>
              </a:ext>
            </a:extLst>
          </xdr:cNvPr>
          <xdr:cNvSpPr txBox="1"/>
        </xdr:nvSpPr>
        <xdr:spPr>
          <a:xfrm>
            <a:off x="1227553" y="10981688"/>
            <a:ext cx="746914" cy="376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6407CE4-B1E6-4D56-971B-C3824CDE1633}" type="TxLink">
              <a:rPr lang="en-US" sz="1200" b="1" i="0" u="none" strike="noStrike">
                <a:solidFill>
                  <a:srgbClr val="002060"/>
                </a:solidFill>
                <a:latin typeface="Comic Sans MS" panose="030F0702030302020204" pitchFamily="66" charset="0"/>
                <a:ea typeface="Calibri"/>
                <a:cs typeface="Calibri"/>
              </a:rPr>
              <a:pPr marL="0" indent="0" algn="r"/>
              <a:t>₹1,43,600.00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37">
        <xdr:nvSpPr>
          <xdr:cNvPr id="589" name="TextBox 588">
            <a:extLst>
              <a:ext uri="{FF2B5EF4-FFF2-40B4-BE49-F238E27FC236}">
                <a16:creationId xmlns:a16="http://schemas.microsoft.com/office/drawing/2014/main" id="{00000000-0008-0000-0000-00004D020000}"/>
              </a:ext>
            </a:extLst>
          </xdr:cNvPr>
          <xdr:cNvSpPr txBox="1"/>
        </xdr:nvSpPr>
        <xdr:spPr>
          <a:xfrm>
            <a:off x="1227553" y="11558719"/>
            <a:ext cx="746914" cy="365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FA12710-2022-4B48-8AC1-F65ABF395A26}" type="TxLink">
              <a:rPr lang="en-US" sz="1200" b="1" i="0" u="none" strike="noStrike">
                <a:solidFill>
                  <a:srgbClr val="002060"/>
                </a:solidFill>
                <a:latin typeface="Comic Sans MS" panose="030F0702030302020204" pitchFamily="66" charset="0"/>
                <a:ea typeface="Calibri"/>
                <a:cs typeface="Calibri"/>
              </a:rPr>
              <a:pPr marL="0" indent="0" algn="r"/>
              <a:t>₹61,400.00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590" name="Group 589">
            <a:extLst>
              <a:ext uri="{FF2B5EF4-FFF2-40B4-BE49-F238E27FC236}">
                <a16:creationId xmlns:a16="http://schemas.microsoft.com/office/drawing/2014/main" id="{00000000-0008-0000-0000-00004E020000}"/>
              </a:ext>
            </a:extLst>
          </xdr:cNvPr>
          <xdr:cNvGrpSpPr/>
        </xdr:nvGrpSpPr>
        <xdr:grpSpPr>
          <a:xfrm>
            <a:off x="1927118" y="12056598"/>
            <a:ext cx="3519042" cy="1208146"/>
            <a:chOff x="1893241" y="7278981"/>
            <a:chExt cx="3509076" cy="1223521"/>
          </a:xfrm>
        </xdr:grpSpPr>
        <xdr:cxnSp macro="">
          <xdr:nvCxnSpPr>
            <xdr:cNvPr id="591" name="Straight Connector 590">
              <a:extLst>
                <a:ext uri="{FF2B5EF4-FFF2-40B4-BE49-F238E27FC236}">
                  <a16:creationId xmlns:a16="http://schemas.microsoft.com/office/drawing/2014/main" id="{00000000-0008-0000-0000-00004F020000}"/>
                </a:ext>
              </a:extLst>
            </xdr:cNvPr>
            <xdr:cNvCxnSpPr/>
          </xdr:nvCxnSpPr>
          <xdr:spPr>
            <a:xfrm>
              <a:off x="3061913" y="734953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000-00005002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000-000051020000}"/>
                </a:ext>
              </a:extLst>
            </xdr:cNvPr>
            <xdr:cNvCxnSpPr/>
          </xdr:nvCxnSpPr>
          <xdr:spPr>
            <a:xfrm>
              <a:off x="5397500" y="7361296"/>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000-000052020000}"/>
                </a:ext>
              </a:extLst>
            </xdr:cNvPr>
            <xdr:cNvCxnSpPr/>
          </xdr:nvCxnSpPr>
          <xdr:spPr>
            <a:xfrm>
              <a:off x="1893241" y="7278981"/>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271506</xdr:colOff>
      <xdr:row>78</xdr:row>
      <xdr:rowOff>25545</xdr:rowOff>
    </xdr:from>
    <xdr:to>
      <xdr:col>9</xdr:col>
      <xdr:colOff>35110</xdr:colOff>
      <xdr:row>102</xdr:row>
      <xdr:rowOff>52331</xdr:rowOff>
    </xdr:to>
    <xdr:grpSp>
      <xdr:nvGrpSpPr>
        <xdr:cNvPr id="626" name="Group 625">
          <a:extLst>
            <a:ext uri="{FF2B5EF4-FFF2-40B4-BE49-F238E27FC236}">
              <a16:creationId xmlns:a16="http://schemas.microsoft.com/office/drawing/2014/main" id="{00000000-0008-0000-0000-000072020000}"/>
            </a:ext>
          </a:extLst>
        </xdr:cNvPr>
        <xdr:cNvGrpSpPr/>
      </xdr:nvGrpSpPr>
      <xdr:grpSpPr>
        <a:xfrm>
          <a:off x="271506" y="14542959"/>
          <a:ext cx="6080759" cy="4526527"/>
          <a:chOff x="13586073" y="8971586"/>
          <a:chExt cx="6157212" cy="4318509"/>
        </a:xfrm>
      </xdr:grpSpPr>
      <xdr:grpSp>
        <xdr:nvGrpSpPr>
          <xdr:cNvPr id="627" name="Group 626">
            <a:extLst>
              <a:ext uri="{FF2B5EF4-FFF2-40B4-BE49-F238E27FC236}">
                <a16:creationId xmlns:a16="http://schemas.microsoft.com/office/drawing/2014/main" id="{00000000-0008-0000-0000-000073020000}"/>
              </a:ext>
            </a:extLst>
          </xdr:cNvPr>
          <xdr:cNvGrpSpPr/>
        </xdr:nvGrpSpPr>
        <xdr:grpSpPr>
          <a:xfrm>
            <a:off x="13608024" y="8971586"/>
            <a:ext cx="6135261" cy="4318509"/>
            <a:chOff x="344766" y="4265801"/>
            <a:chExt cx="6055631" cy="4281500"/>
          </a:xfrm>
        </xdr:grpSpPr>
        <xdr:grpSp>
          <xdr:nvGrpSpPr>
            <xdr:cNvPr id="658" name="Group 657">
              <a:extLst>
                <a:ext uri="{FF2B5EF4-FFF2-40B4-BE49-F238E27FC236}">
                  <a16:creationId xmlns:a16="http://schemas.microsoft.com/office/drawing/2014/main" id="{00000000-0008-0000-0000-000092020000}"/>
                </a:ext>
              </a:extLst>
            </xdr:cNvPr>
            <xdr:cNvGrpSpPr>
              <a:grpSpLocks/>
            </xdr:cNvGrpSpPr>
          </xdr:nvGrpSpPr>
          <xdr:grpSpPr>
            <a:xfrm>
              <a:off x="344766" y="4265801"/>
              <a:ext cx="6055631" cy="4281500"/>
              <a:chOff x="4615628" y="16240125"/>
              <a:chExt cx="5388081" cy="4325195"/>
            </a:xfrm>
          </xdr:grpSpPr>
          <xdr:sp macro="" textlink="">
            <xdr:nvSpPr>
              <xdr:cNvPr id="667" name="Rectangle 666">
                <a:extLst>
                  <a:ext uri="{FF2B5EF4-FFF2-40B4-BE49-F238E27FC236}">
                    <a16:creationId xmlns:a16="http://schemas.microsoft.com/office/drawing/2014/main" id="{00000000-0008-0000-0000-00009B02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68" name="Group 667">
                <a:extLst>
                  <a:ext uri="{FF2B5EF4-FFF2-40B4-BE49-F238E27FC236}">
                    <a16:creationId xmlns:a16="http://schemas.microsoft.com/office/drawing/2014/main" id="{00000000-0008-0000-0000-00009C020000}"/>
                  </a:ext>
                </a:extLst>
              </xdr:cNvPr>
              <xdr:cNvGrpSpPr/>
            </xdr:nvGrpSpPr>
            <xdr:grpSpPr>
              <a:xfrm>
                <a:off x="4615628" y="16240125"/>
                <a:ext cx="5388081" cy="4325195"/>
                <a:chOff x="4615628" y="16240125"/>
                <a:chExt cx="5388081" cy="4325195"/>
              </a:xfrm>
            </xdr:grpSpPr>
            <xdr:sp macro="" textlink="">
              <xdr:nvSpPr>
                <xdr:cNvPr id="675" name="Rectangle: Rounded Corners 674">
                  <a:extLst>
                    <a:ext uri="{FF2B5EF4-FFF2-40B4-BE49-F238E27FC236}">
                      <a16:creationId xmlns:a16="http://schemas.microsoft.com/office/drawing/2014/main" id="{00000000-0008-0000-0000-0000A302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76" name="Group 675">
                  <a:extLst>
                    <a:ext uri="{FF2B5EF4-FFF2-40B4-BE49-F238E27FC236}">
                      <a16:creationId xmlns:a16="http://schemas.microsoft.com/office/drawing/2014/main" id="{00000000-0008-0000-0000-0000A4020000}"/>
                    </a:ext>
                  </a:extLst>
                </xdr:cNvPr>
                <xdr:cNvGrpSpPr/>
              </xdr:nvGrpSpPr>
              <xdr:grpSpPr>
                <a:xfrm>
                  <a:off x="4615628" y="16240125"/>
                  <a:ext cx="5388081" cy="4325195"/>
                  <a:chOff x="4615628" y="16240125"/>
                  <a:chExt cx="5388081" cy="4325195"/>
                </a:xfrm>
              </xdr:grpSpPr>
              <xdr:sp macro="" textlink="">
                <xdr:nvSpPr>
                  <xdr:cNvPr id="678" name="TextBox 677">
                    <a:extLst>
                      <a:ext uri="{FF2B5EF4-FFF2-40B4-BE49-F238E27FC236}">
                        <a16:creationId xmlns:a16="http://schemas.microsoft.com/office/drawing/2014/main" id="{00000000-0008-0000-0000-0000A6020000}"/>
                      </a:ext>
                    </a:extLst>
                  </xdr:cNvPr>
                  <xdr:cNvSpPr txBox="1"/>
                </xdr:nvSpPr>
                <xdr:spPr>
                  <a:xfrm rot="10800000">
                    <a:off x="4616920" y="19139810"/>
                    <a:ext cx="5386535" cy="1425510"/>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679" name="TextBox 678">
                    <a:extLst>
                      <a:ext uri="{FF2B5EF4-FFF2-40B4-BE49-F238E27FC236}">
                        <a16:creationId xmlns:a16="http://schemas.microsoft.com/office/drawing/2014/main" id="{00000000-0008-0000-0000-0000A7020000}"/>
                      </a:ext>
                    </a:extLst>
                  </xdr:cNvPr>
                  <xdr:cNvSpPr txBox="1"/>
                </xdr:nvSpPr>
                <xdr:spPr>
                  <a:xfrm rot="5400000">
                    <a:off x="8531448" y="18482441"/>
                    <a:ext cx="2853472" cy="87824"/>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680" name="TextBox 679">
                    <a:extLst>
                      <a:ext uri="{FF2B5EF4-FFF2-40B4-BE49-F238E27FC236}">
                        <a16:creationId xmlns:a16="http://schemas.microsoft.com/office/drawing/2014/main" id="{00000000-0008-0000-0000-0000A8020000}"/>
                      </a:ext>
                    </a:extLst>
                  </xdr:cNvPr>
                  <xdr:cNvSpPr txBox="1"/>
                </xdr:nvSpPr>
                <xdr:spPr>
                  <a:xfrm>
                    <a:off x="4615628" y="16240125"/>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681" name="Rectangle 680">
                    <a:extLst>
                      <a:ext uri="{FF2B5EF4-FFF2-40B4-BE49-F238E27FC236}">
                        <a16:creationId xmlns:a16="http://schemas.microsoft.com/office/drawing/2014/main" id="{00000000-0008-0000-0000-0000A9020000}"/>
                      </a:ext>
                    </a:extLst>
                  </xdr:cNvPr>
                  <xdr:cNvSpPr/>
                </xdr:nvSpPr>
                <xdr:spPr>
                  <a:xfrm>
                    <a:off x="4617489" y="17304469"/>
                    <a:ext cx="1552110" cy="2531057"/>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77" name="Rectangle: Rounded Corners 676">
                  <a:extLst>
                    <a:ext uri="{FF2B5EF4-FFF2-40B4-BE49-F238E27FC236}">
                      <a16:creationId xmlns:a16="http://schemas.microsoft.com/office/drawing/2014/main" id="{00000000-0008-0000-0000-0000A502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69" name="Rectangle: Rounded Corners 668">
                <a:extLst>
                  <a:ext uri="{FF2B5EF4-FFF2-40B4-BE49-F238E27FC236}">
                    <a16:creationId xmlns:a16="http://schemas.microsoft.com/office/drawing/2014/main" id="{00000000-0008-0000-0000-00009D02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70" name="Rectangle: Rounded Corners 669">
                <a:extLst>
                  <a:ext uri="{FF2B5EF4-FFF2-40B4-BE49-F238E27FC236}">
                    <a16:creationId xmlns:a16="http://schemas.microsoft.com/office/drawing/2014/main" id="{00000000-0008-0000-0000-00009E02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71" name="TextBox 670">
                <a:extLst>
                  <a:ext uri="{FF2B5EF4-FFF2-40B4-BE49-F238E27FC236}">
                    <a16:creationId xmlns:a16="http://schemas.microsoft.com/office/drawing/2014/main" id="{00000000-0008-0000-0000-00009F02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672" name="TextBox 671">
                <a:extLst>
                  <a:ext uri="{FF2B5EF4-FFF2-40B4-BE49-F238E27FC236}">
                    <a16:creationId xmlns:a16="http://schemas.microsoft.com/office/drawing/2014/main" id="{00000000-0008-0000-0000-0000A0020000}"/>
                  </a:ext>
                </a:extLst>
              </xdr:cNvPr>
              <xdr:cNvSpPr txBox="1"/>
            </xdr:nvSpPr>
            <xdr:spPr>
              <a:xfrm>
                <a:off x="5296264" y="1857557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673" name="TextBox 672">
                <a:extLst>
                  <a:ext uri="{FF2B5EF4-FFF2-40B4-BE49-F238E27FC236}">
                    <a16:creationId xmlns:a16="http://schemas.microsoft.com/office/drawing/2014/main" id="{00000000-0008-0000-0000-0000A1020000}"/>
                  </a:ext>
                </a:extLst>
              </xdr:cNvPr>
              <xdr:cNvSpPr txBox="1"/>
            </xdr:nvSpPr>
            <xdr:spPr>
              <a:xfrm>
                <a:off x="4882350" y="17437236"/>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674" name="Rectangle: Rounded Corners 673">
                <a:extLst>
                  <a:ext uri="{FF2B5EF4-FFF2-40B4-BE49-F238E27FC236}">
                    <a16:creationId xmlns:a16="http://schemas.microsoft.com/office/drawing/2014/main" id="{00000000-0008-0000-0000-0000A202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659" name="Group 658">
              <a:extLst>
                <a:ext uri="{FF2B5EF4-FFF2-40B4-BE49-F238E27FC236}">
                  <a16:creationId xmlns:a16="http://schemas.microsoft.com/office/drawing/2014/main" id="{00000000-0008-0000-0000-000093020000}"/>
                </a:ext>
              </a:extLst>
            </xdr:cNvPr>
            <xdr:cNvGrpSpPr/>
          </xdr:nvGrpSpPr>
          <xdr:grpSpPr>
            <a:xfrm>
              <a:off x="483811" y="7299688"/>
              <a:ext cx="5557778" cy="914201"/>
              <a:chOff x="483811" y="7299688"/>
              <a:chExt cx="5557778" cy="914201"/>
            </a:xfrm>
          </xdr:grpSpPr>
          <xdr:sp macro="" textlink="">
            <xdr:nvSpPr>
              <xdr:cNvPr id="660" name="TextBox 659">
                <a:extLst>
                  <a:ext uri="{FF2B5EF4-FFF2-40B4-BE49-F238E27FC236}">
                    <a16:creationId xmlns:a16="http://schemas.microsoft.com/office/drawing/2014/main" id="{00000000-0008-0000-0000-00009402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661" name="TextBox 660">
                <a:extLst>
                  <a:ext uri="{FF2B5EF4-FFF2-40B4-BE49-F238E27FC236}">
                    <a16:creationId xmlns:a16="http://schemas.microsoft.com/office/drawing/2014/main" id="{00000000-0008-0000-0000-00009502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662" name="TextBox 661">
                <a:extLst>
                  <a:ext uri="{FF2B5EF4-FFF2-40B4-BE49-F238E27FC236}">
                    <a16:creationId xmlns:a16="http://schemas.microsoft.com/office/drawing/2014/main" id="{00000000-0008-0000-0000-00009602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663" name="TextBox 662">
                <a:extLst>
                  <a:ext uri="{FF2B5EF4-FFF2-40B4-BE49-F238E27FC236}">
                    <a16:creationId xmlns:a16="http://schemas.microsoft.com/office/drawing/2014/main" id="{00000000-0008-0000-0000-00009702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664" name="TextBox 663">
                <a:extLst>
                  <a:ext uri="{FF2B5EF4-FFF2-40B4-BE49-F238E27FC236}">
                    <a16:creationId xmlns:a16="http://schemas.microsoft.com/office/drawing/2014/main" id="{00000000-0008-0000-0000-00009802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665" name="TextBox 664">
                <a:extLst>
                  <a:ext uri="{FF2B5EF4-FFF2-40B4-BE49-F238E27FC236}">
                    <a16:creationId xmlns:a16="http://schemas.microsoft.com/office/drawing/2014/main" id="{00000000-0008-0000-0000-00009902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666" name="TextBox 665">
                <a:extLst>
                  <a:ext uri="{FF2B5EF4-FFF2-40B4-BE49-F238E27FC236}">
                    <a16:creationId xmlns:a16="http://schemas.microsoft.com/office/drawing/2014/main" id="{00000000-0008-0000-0000-00009A02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sp macro="" textlink="">
        <xdr:nvSpPr>
          <xdr:cNvPr id="628" name="TextBox 627">
            <a:extLst>
              <a:ext uri="{FF2B5EF4-FFF2-40B4-BE49-F238E27FC236}">
                <a16:creationId xmlns:a16="http://schemas.microsoft.com/office/drawing/2014/main" id="{00000000-0008-0000-0000-000074020000}"/>
              </a:ext>
            </a:extLst>
          </xdr:cNvPr>
          <xdr:cNvSpPr txBox="1"/>
        </xdr:nvSpPr>
        <xdr:spPr>
          <a:xfrm>
            <a:off x="13586073" y="9229820"/>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IV</a:t>
            </a:r>
            <a:endParaRPr lang="en-IN" sz="3100" b="1" i="0" spc="200" baseline="0">
              <a:solidFill>
                <a:schemeClr val="bg1"/>
              </a:solidFill>
              <a:latin typeface="Calisto MT" panose="02040603050505030304" pitchFamily="18" charset="0"/>
            </a:endParaRPr>
          </a:p>
        </xdr:txBody>
      </xdr:sp>
      <xdr:sp macro="" textlink="FinalAnalysis!C66">
        <xdr:nvSpPr>
          <xdr:cNvPr id="629" name="TextBox 628">
            <a:extLst>
              <a:ext uri="{FF2B5EF4-FFF2-40B4-BE49-F238E27FC236}">
                <a16:creationId xmlns:a16="http://schemas.microsoft.com/office/drawing/2014/main" id="{00000000-0008-0000-0000-000075020000}"/>
              </a:ext>
            </a:extLst>
          </xdr:cNvPr>
          <xdr:cNvSpPr txBox="1"/>
        </xdr:nvSpPr>
        <xdr:spPr>
          <a:xfrm>
            <a:off x="15164545" y="1243910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EE5CC408-ED44-4CD3-B727-CD6FA527671F}" type="TxLink">
              <a:rPr lang="en-US" sz="1200" b="1" i="0" u="none" strike="noStrike">
                <a:solidFill>
                  <a:srgbClr val="002060"/>
                </a:solidFill>
                <a:latin typeface="Comic Sans MS" panose="030F0702030302020204" pitchFamily="66" charset="0"/>
                <a:ea typeface="Calibri"/>
                <a:cs typeface="Calibri"/>
              </a:rPr>
              <a:pPr marL="0" indent="0" algn="r"/>
              <a:t>₹ 1,17,000.00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6">
        <xdr:nvSpPr>
          <xdr:cNvPr id="630" name="TextBox 629">
            <a:extLst>
              <a:ext uri="{FF2B5EF4-FFF2-40B4-BE49-F238E27FC236}">
                <a16:creationId xmlns:a16="http://schemas.microsoft.com/office/drawing/2014/main" id="{00000000-0008-0000-0000-000076020000}"/>
              </a:ext>
            </a:extLst>
          </xdr:cNvPr>
          <xdr:cNvSpPr txBox="1"/>
        </xdr:nvSpPr>
        <xdr:spPr>
          <a:xfrm>
            <a:off x="16378242" y="1245837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75EB868-FE9D-44E5-9740-AB320A22B5D1}" type="TxLink">
              <a:rPr lang="en-US" sz="1200" b="1" i="0" u="none" strike="noStrike">
                <a:solidFill>
                  <a:srgbClr val="002060"/>
                </a:solidFill>
                <a:latin typeface="Comic Sans MS" panose="030F0702030302020204" pitchFamily="66" charset="0"/>
                <a:ea typeface="Calibri"/>
                <a:cs typeface="Calibri"/>
              </a:rPr>
              <a:pPr marL="0" indent="0" algn="r"/>
              <a:t>₹ 10,500.00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6">
        <xdr:nvSpPr>
          <xdr:cNvPr id="631" name="TextBox 630">
            <a:extLst>
              <a:ext uri="{FF2B5EF4-FFF2-40B4-BE49-F238E27FC236}">
                <a16:creationId xmlns:a16="http://schemas.microsoft.com/office/drawing/2014/main" id="{00000000-0008-0000-0000-000077020000}"/>
              </a:ext>
            </a:extLst>
          </xdr:cNvPr>
          <xdr:cNvSpPr txBox="1"/>
        </xdr:nvSpPr>
        <xdr:spPr>
          <a:xfrm>
            <a:off x="17485787" y="1247665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D016459-5E03-4609-B312-8727F226B844}" type="TxLink">
              <a:rPr lang="en-US" sz="1200" b="1" i="0" u="none" strike="noStrike">
                <a:solidFill>
                  <a:srgbClr val="002060"/>
                </a:solidFill>
                <a:latin typeface="Comic Sans MS" panose="030F0702030302020204" pitchFamily="66" charset="0"/>
                <a:ea typeface="Calibri"/>
                <a:cs typeface="Calibri"/>
              </a:rPr>
              <a:pPr marL="0" indent="0" algn="r"/>
              <a:t>₹ 5,500.00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6">
        <xdr:nvSpPr>
          <xdr:cNvPr id="632" name="TextBox 631">
            <a:extLst>
              <a:ext uri="{FF2B5EF4-FFF2-40B4-BE49-F238E27FC236}">
                <a16:creationId xmlns:a16="http://schemas.microsoft.com/office/drawing/2014/main" id="{00000000-0008-0000-0000-000078020000}"/>
              </a:ext>
            </a:extLst>
          </xdr:cNvPr>
          <xdr:cNvSpPr txBox="1"/>
        </xdr:nvSpPr>
        <xdr:spPr>
          <a:xfrm>
            <a:off x="18548190" y="1247511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0AA522B-46CA-41FD-B883-2561D63603F2}" type="TxLink">
              <a:rPr lang="en-US" sz="1200" b="1" i="0" u="none" strike="noStrike">
                <a:solidFill>
                  <a:srgbClr val="002060"/>
                </a:solidFill>
                <a:latin typeface="Comic Sans MS" panose="030F0702030302020204" pitchFamily="66" charset="0"/>
                <a:ea typeface="Calibri"/>
                <a:cs typeface="Calibri"/>
              </a:rPr>
              <a:pPr marL="0" indent="0" algn="r"/>
              <a:t>₹ 62,000.00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6">
        <xdr:nvSpPr>
          <xdr:cNvPr id="633" name="TextBox 632">
            <a:extLst>
              <a:ext uri="{FF2B5EF4-FFF2-40B4-BE49-F238E27FC236}">
                <a16:creationId xmlns:a16="http://schemas.microsoft.com/office/drawing/2014/main" id="{00000000-0008-0000-0000-000079020000}"/>
              </a:ext>
            </a:extLst>
          </xdr:cNvPr>
          <xdr:cNvSpPr txBox="1"/>
        </xdr:nvSpPr>
        <xdr:spPr>
          <a:xfrm>
            <a:off x="15154464" y="1271393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FEB639B8-4798-4221-B64A-4903F2BA6514}" type="TxLink">
              <a:rPr lang="en-US" sz="1200" b="1" i="0" u="none" strike="noStrike">
                <a:solidFill>
                  <a:srgbClr val="002060"/>
                </a:solidFill>
                <a:latin typeface="Comic Sans MS" panose="030F0702030302020204" pitchFamily="66" charset="0"/>
                <a:ea typeface="Calibri"/>
                <a:cs typeface="Calibri"/>
              </a:rPr>
              <a:pPr marL="0" indent="0" algn="r"/>
              <a:t>-₹ 29,000.00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6">
        <xdr:nvSpPr>
          <xdr:cNvPr id="634" name="TextBox 633">
            <a:extLst>
              <a:ext uri="{FF2B5EF4-FFF2-40B4-BE49-F238E27FC236}">
                <a16:creationId xmlns:a16="http://schemas.microsoft.com/office/drawing/2014/main" id="{00000000-0008-0000-0000-00007A020000}"/>
              </a:ext>
            </a:extLst>
          </xdr:cNvPr>
          <xdr:cNvSpPr txBox="1"/>
        </xdr:nvSpPr>
        <xdr:spPr>
          <a:xfrm>
            <a:off x="16368162" y="1273320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9059B7C-8B47-4AED-8268-43C39E17ED10}" type="TxLink">
              <a:rPr lang="en-US" sz="1200" b="1" i="0" u="none" strike="noStrike">
                <a:solidFill>
                  <a:srgbClr val="002060"/>
                </a:solidFill>
                <a:latin typeface="Comic Sans MS" panose="030F0702030302020204" pitchFamily="66" charset="0"/>
                <a:ea typeface="Calibri"/>
                <a:cs typeface="Calibri"/>
              </a:rPr>
              <a:pPr marL="0" indent="0" algn="r"/>
              <a:t>₹ 5,500.00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6">
        <xdr:nvSpPr>
          <xdr:cNvPr id="635" name="TextBox 634">
            <a:extLst>
              <a:ext uri="{FF2B5EF4-FFF2-40B4-BE49-F238E27FC236}">
                <a16:creationId xmlns:a16="http://schemas.microsoft.com/office/drawing/2014/main" id="{00000000-0008-0000-0000-00007B020000}"/>
              </a:ext>
            </a:extLst>
          </xdr:cNvPr>
          <xdr:cNvSpPr txBox="1"/>
        </xdr:nvSpPr>
        <xdr:spPr>
          <a:xfrm>
            <a:off x="17485787" y="1275050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69F207E-2EC2-4AF4-BCC3-C32585B00B16}" type="TxLink">
              <a:rPr lang="en-US" sz="1200" b="1" i="0" u="none" strike="noStrike">
                <a:solidFill>
                  <a:srgbClr val="002060"/>
                </a:solidFill>
                <a:latin typeface="Comic Sans MS" panose="030F0702030302020204" pitchFamily="66" charset="0"/>
                <a:ea typeface="Calibri"/>
                <a:cs typeface="Calibri"/>
              </a:rPr>
              <a:pPr marL="0" indent="0" algn="r"/>
              <a:t>₹ 2,000.00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6">
        <xdr:nvSpPr>
          <xdr:cNvPr id="636" name="TextBox 635">
            <a:extLst>
              <a:ext uri="{FF2B5EF4-FFF2-40B4-BE49-F238E27FC236}">
                <a16:creationId xmlns:a16="http://schemas.microsoft.com/office/drawing/2014/main" id="{00000000-0008-0000-0000-00007C020000}"/>
              </a:ext>
            </a:extLst>
          </xdr:cNvPr>
          <xdr:cNvSpPr txBox="1"/>
        </xdr:nvSpPr>
        <xdr:spPr>
          <a:xfrm>
            <a:off x="18550810" y="1275384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9CB9B159-7363-4E69-9026-99F1E5D9F831}" type="TxLink">
              <a:rPr lang="en-US" sz="1200" b="1" i="0" u="none" strike="noStrike">
                <a:solidFill>
                  <a:srgbClr val="002060"/>
                </a:solidFill>
                <a:latin typeface="Comic Sans MS" panose="030F0702030302020204" pitchFamily="66" charset="0"/>
                <a:ea typeface="Calibri"/>
                <a:cs typeface="Calibri"/>
              </a:rPr>
              <a:pPr marL="0" indent="0" algn="r"/>
              <a:t>₹ 1,49,500.00</a:t>
            </a:fld>
            <a:endParaRPr lang="en-US" sz="1200" b="1" i="0" u="none" strike="noStrike">
              <a:solidFill>
                <a:srgbClr val="002060"/>
              </a:solidFill>
              <a:latin typeface="Comic Sans MS" panose="030F0702030302020204" pitchFamily="66" charset="0"/>
              <a:ea typeface="+mn-ea"/>
              <a:cs typeface="+mn-cs"/>
            </a:endParaRPr>
          </a:p>
        </xdr:txBody>
      </xdr:sp>
      <xdr:grpSp>
        <xdr:nvGrpSpPr>
          <xdr:cNvPr id="637" name="Group 636">
            <a:extLst>
              <a:ext uri="{FF2B5EF4-FFF2-40B4-BE49-F238E27FC236}">
                <a16:creationId xmlns:a16="http://schemas.microsoft.com/office/drawing/2014/main" id="{00000000-0008-0000-0000-00007D020000}"/>
              </a:ext>
            </a:extLst>
          </xdr:cNvPr>
          <xdr:cNvGrpSpPr/>
        </xdr:nvGrpSpPr>
        <xdr:grpSpPr>
          <a:xfrm>
            <a:off x="15394278" y="9121564"/>
            <a:ext cx="4137268" cy="617933"/>
            <a:chOff x="9772834" y="16020484"/>
            <a:chExt cx="4173657" cy="595815"/>
          </a:xfrm>
        </xdr:grpSpPr>
        <xdr:sp macro="" textlink="">
          <xdr:nvSpPr>
            <xdr:cNvPr id="651" name="Rectangle: Rounded Corners 650">
              <a:extLst>
                <a:ext uri="{FF2B5EF4-FFF2-40B4-BE49-F238E27FC236}">
                  <a16:creationId xmlns:a16="http://schemas.microsoft.com/office/drawing/2014/main" id="{00000000-0008-0000-0000-00008B02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52" name="Rectangle: Rounded Corners 651">
              <a:extLst>
                <a:ext uri="{FF2B5EF4-FFF2-40B4-BE49-F238E27FC236}">
                  <a16:creationId xmlns:a16="http://schemas.microsoft.com/office/drawing/2014/main" id="{00000000-0008-0000-0000-00008C02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653" name="Straight Connector 652">
              <a:extLst>
                <a:ext uri="{FF2B5EF4-FFF2-40B4-BE49-F238E27FC236}">
                  <a16:creationId xmlns:a16="http://schemas.microsoft.com/office/drawing/2014/main" id="{00000000-0008-0000-0000-00008D020000}"/>
                </a:ext>
              </a:extLst>
            </xdr:cNvPr>
            <xdr:cNvCxnSpPr/>
          </xdr:nvCxnSpPr>
          <xdr:spPr>
            <a:xfrm>
              <a:off x="10466812" y="16090026"/>
              <a:ext cx="1790" cy="52627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654" name="Straight Connector 653">
              <a:extLst>
                <a:ext uri="{FF2B5EF4-FFF2-40B4-BE49-F238E27FC236}">
                  <a16:creationId xmlns:a16="http://schemas.microsoft.com/office/drawing/2014/main" id="{00000000-0008-0000-0000-00008E020000}"/>
                </a:ext>
              </a:extLst>
            </xdr:cNvPr>
            <xdr:cNvCxnSpPr/>
          </xdr:nvCxnSpPr>
          <xdr:spPr>
            <a:xfrm>
              <a:off x="11098469" y="16073671"/>
              <a:ext cx="7669" cy="51995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sp macro="" textlink="">
          <xdr:nvSpPr>
            <xdr:cNvPr id="655" name="TextBox 654">
              <a:extLst>
                <a:ext uri="{FF2B5EF4-FFF2-40B4-BE49-F238E27FC236}">
                  <a16:creationId xmlns:a16="http://schemas.microsoft.com/office/drawing/2014/main" id="{00000000-0008-0000-0000-00008F02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656" name="TextBox 655">
              <a:extLst>
                <a:ext uri="{FF2B5EF4-FFF2-40B4-BE49-F238E27FC236}">
                  <a16:creationId xmlns:a16="http://schemas.microsoft.com/office/drawing/2014/main" id="{00000000-0008-0000-0000-00009002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657" name="TextBox 656">
              <a:extLst>
                <a:ext uri="{FF2B5EF4-FFF2-40B4-BE49-F238E27FC236}">
                  <a16:creationId xmlns:a16="http://schemas.microsoft.com/office/drawing/2014/main" id="{00000000-0008-0000-0000-00009102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638" name="TextBox 637">
            <a:extLst>
              <a:ext uri="{FF2B5EF4-FFF2-40B4-BE49-F238E27FC236}">
                <a16:creationId xmlns:a16="http://schemas.microsoft.com/office/drawing/2014/main" id="{00000000-0008-0000-0000-00007E020000}"/>
              </a:ext>
            </a:extLst>
          </xdr:cNvPr>
          <xdr:cNvSpPr txBox="1"/>
        </xdr:nvSpPr>
        <xdr:spPr>
          <a:xfrm>
            <a:off x="18582460" y="9406728"/>
            <a:ext cx="880697" cy="295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C30">
        <xdr:nvSpPr>
          <xdr:cNvPr id="639" name="TextBox 638">
            <a:extLst>
              <a:ext uri="{FF2B5EF4-FFF2-40B4-BE49-F238E27FC236}">
                <a16:creationId xmlns:a16="http://schemas.microsoft.com/office/drawing/2014/main" id="{00000000-0008-0000-0000-00007F020000}"/>
              </a:ext>
            </a:extLst>
          </xdr:cNvPr>
          <xdr:cNvSpPr txBox="1"/>
        </xdr:nvSpPr>
        <xdr:spPr>
          <a:xfrm>
            <a:off x="17739184" y="9263856"/>
            <a:ext cx="408412" cy="2613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CC45A322-3565-4F0D-BFC3-AC6220A74399}" type="TxLink">
              <a:rPr lang="en-US" sz="1100" b="1" i="1" u="none" strike="noStrike">
                <a:solidFill>
                  <a:srgbClr val="002060"/>
                </a:solidFill>
                <a:latin typeface="Comic Sans MS" panose="030F0702030302020204" pitchFamily="66" charset="0"/>
                <a:ea typeface="+mn-ea"/>
                <a:cs typeface="+mn-cs"/>
              </a:rPr>
              <a:pPr marL="0" indent="0" algn="l"/>
              <a:t>Overall</a:t>
            </a:fld>
            <a:endParaRPr lang="en-IN" sz="1100" b="1" i="1" u="none" strike="noStrike">
              <a:solidFill>
                <a:srgbClr val="002060"/>
              </a:solidFill>
              <a:latin typeface="Comic Sans MS" panose="030F0702030302020204" pitchFamily="66" charset="0"/>
              <a:ea typeface="+mn-ea"/>
              <a:cs typeface="+mn-cs"/>
            </a:endParaRPr>
          </a:p>
        </xdr:txBody>
      </xdr:sp>
      <xdr:sp macro="" textlink="FinalAnalysis!J39">
        <xdr:nvSpPr>
          <xdr:cNvPr id="640" name="TextBox 639">
            <a:extLst>
              <a:ext uri="{FF2B5EF4-FFF2-40B4-BE49-F238E27FC236}">
                <a16:creationId xmlns:a16="http://schemas.microsoft.com/office/drawing/2014/main" id="{00000000-0008-0000-0000-000080020000}"/>
              </a:ext>
            </a:extLst>
          </xdr:cNvPr>
          <xdr:cNvSpPr txBox="1"/>
        </xdr:nvSpPr>
        <xdr:spPr>
          <a:xfrm>
            <a:off x="15648818" y="9349585"/>
            <a:ext cx="326494"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6E760C3-B9E0-4122-8CF3-D20FF4B5BD69}" type="TxLink">
              <a:rPr lang="en-US" sz="1600" b="1" i="0" u="none" strike="noStrike">
                <a:solidFill>
                  <a:srgbClr val="002060"/>
                </a:solidFill>
                <a:latin typeface="Comic Sans MS" panose="030F0702030302020204" pitchFamily="66" charset="0"/>
                <a:ea typeface="+mn-ea"/>
                <a:cs typeface="+mn-cs"/>
              </a:rPr>
              <a:pPr marL="0" indent="0" algn="r"/>
              <a:t>11</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39">
        <xdr:nvSpPr>
          <xdr:cNvPr id="641" name="TextBox 640">
            <a:extLst>
              <a:ext uri="{FF2B5EF4-FFF2-40B4-BE49-F238E27FC236}">
                <a16:creationId xmlns:a16="http://schemas.microsoft.com/office/drawing/2014/main" id="{00000000-0008-0000-0000-000081020000}"/>
              </a:ext>
            </a:extLst>
          </xdr:cNvPr>
          <xdr:cNvSpPr txBox="1"/>
        </xdr:nvSpPr>
        <xdr:spPr>
          <a:xfrm>
            <a:off x="16223666" y="9343802"/>
            <a:ext cx="330021" cy="2795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59C2008E-E3FA-4FF7-8913-726A655B9390}" type="TxLink">
              <a:rPr lang="en-US" sz="1200" b="1" i="0" u="none" strike="noStrike">
                <a:solidFill>
                  <a:srgbClr val="002060"/>
                </a:solidFill>
                <a:latin typeface="Comic Sans MS" panose="030F0702030302020204" pitchFamily="66" charset="0"/>
                <a:ea typeface="+mn-ea"/>
                <a:cs typeface="+mn-cs"/>
              </a:rPr>
              <a:pPr marL="0" indent="0" algn="r"/>
              <a:t>8</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39">
        <xdr:nvSpPr>
          <xdr:cNvPr id="642" name="TextBox 641">
            <a:extLst>
              <a:ext uri="{FF2B5EF4-FFF2-40B4-BE49-F238E27FC236}">
                <a16:creationId xmlns:a16="http://schemas.microsoft.com/office/drawing/2014/main" id="{00000000-0008-0000-0000-000082020000}"/>
              </a:ext>
            </a:extLst>
          </xdr:cNvPr>
          <xdr:cNvSpPr txBox="1"/>
        </xdr:nvSpPr>
        <xdr:spPr>
          <a:xfrm>
            <a:off x="16830017" y="9349584"/>
            <a:ext cx="315912" cy="26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2DB43400-9473-4CDA-9A85-0F1224FF1B68}" type="TxLink">
              <a:rPr lang="en-US" sz="1200" b="1" i="0" u="none" strike="noStrike">
                <a:solidFill>
                  <a:srgbClr val="002060"/>
                </a:solidFill>
                <a:latin typeface="Comic Sans MS" panose="030F0702030302020204" pitchFamily="66" charset="0"/>
                <a:ea typeface="+mn-ea"/>
                <a:cs typeface="+mn-cs"/>
              </a:rPr>
              <a:pPr marL="0" indent="0" algn="r"/>
              <a:t>3</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39">
        <xdr:nvSpPr>
          <xdr:cNvPr id="643" name="TextBox 642">
            <a:extLst>
              <a:ext uri="{FF2B5EF4-FFF2-40B4-BE49-F238E27FC236}">
                <a16:creationId xmlns:a16="http://schemas.microsoft.com/office/drawing/2014/main" id="{00000000-0008-0000-0000-000083020000}"/>
              </a:ext>
            </a:extLst>
          </xdr:cNvPr>
          <xdr:cNvSpPr txBox="1"/>
        </xdr:nvSpPr>
        <xdr:spPr>
          <a:xfrm>
            <a:off x="14459993" y="10461511"/>
            <a:ext cx="747116" cy="24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4043127E-BFFE-43FB-832B-FB9157D18934}" type="TxLink">
              <a:rPr lang="en-US" sz="1200" b="1" i="0" u="none" strike="noStrike">
                <a:solidFill>
                  <a:srgbClr val="002060"/>
                </a:solidFill>
                <a:latin typeface="Comic Sans MS" panose="030F0702030302020204" pitchFamily="66" charset="0"/>
                <a:ea typeface="Calibri"/>
                <a:cs typeface="Calibri"/>
              </a:rPr>
              <a:pPr marL="0" indent="0" algn="r"/>
              <a:t>₹2,52,625.00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39">
        <xdr:nvSpPr>
          <xdr:cNvPr id="644" name="TextBox 643">
            <a:extLst>
              <a:ext uri="{FF2B5EF4-FFF2-40B4-BE49-F238E27FC236}">
                <a16:creationId xmlns:a16="http://schemas.microsoft.com/office/drawing/2014/main" id="{00000000-0008-0000-0000-000084020000}"/>
              </a:ext>
            </a:extLst>
          </xdr:cNvPr>
          <xdr:cNvSpPr txBox="1"/>
        </xdr:nvSpPr>
        <xdr:spPr>
          <a:xfrm>
            <a:off x="14459993" y="10993669"/>
            <a:ext cx="747116" cy="376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B9070ACD-C9EE-4F24-8ECA-AF66EAC91021}" type="TxLink">
              <a:rPr lang="en-US" sz="1200" b="1" i="0" u="none" strike="noStrike">
                <a:solidFill>
                  <a:srgbClr val="002060"/>
                </a:solidFill>
                <a:latin typeface="Comic Sans MS" panose="030F0702030302020204" pitchFamily="66" charset="0"/>
                <a:ea typeface="Calibri"/>
                <a:cs typeface="Calibri"/>
              </a:rPr>
              <a:pPr marL="0" indent="0" algn="r"/>
              <a:t>₹1,95,000.00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39">
        <xdr:nvSpPr>
          <xdr:cNvPr id="645" name="TextBox 644">
            <a:extLst>
              <a:ext uri="{FF2B5EF4-FFF2-40B4-BE49-F238E27FC236}">
                <a16:creationId xmlns:a16="http://schemas.microsoft.com/office/drawing/2014/main" id="{00000000-0008-0000-0000-000085020000}"/>
              </a:ext>
            </a:extLst>
          </xdr:cNvPr>
          <xdr:cNvSpPr txBox="1"/>
        </xdr:nvSpPr>
        <xdr:spPr>
          <a:xfrm>
            <a:off x="14459993" y="11534757"/>
            <a:ext cx="747116" cy="365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E00192C-4FCA-4E39-958B-A362ABB40AE7}" type="TxLink">
              <a:rPr lang="en-US" sz="1200" b="1" i="0" u="none" strike="noStrike">
                <a:solidFill>
                  <a:srgbClr val="002060"/>
                </a:solidFill>
                <a:latin typeface="Comic Sans MS" panose="030F0702030302020204" pitchFamily="66" charset="0"/>
                <a:ea typeface="Calibri"/>
                <a:cs typeface="Calibri"/>
              </a:rPr>
              <a:pPr marL="0" indent="0" algn="r"/>
              <a:t>₹57,625.00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646" name="Group 645">
            <a:extLst>
              <a:ext uri="{FF2B5EF4-FFF2-40B4-BE49-F238E27FC236}">
                <a16:creationId xmlns:a16="http://schemas.microsoft.com/office/drawing/2014/main" id="{00000000-0008-0000-0000-000086020000}"/>
              </a:ext>
            </a:extLst>
          </xdr:cNvPr>
          <xdr:cNvGrpSpPr/>
        </xdr:nvGrpSpPr>
        <xdr:grpSpPr>
          <a:xfrm>
            <a:off x="14988625" y="12049161"/>
            <a:ext cx="3604465" cy="1221134"/>
            <a:chOff x="1748944" y="7257898"/>
            <a:chExt cx="3608974" cy="1232404"/>
          </a:xfrm>
        </xdr:grpSpPr>
        <xdr:cxnSp macro="">
          <xdr:nvCxnSpPr>
            <xdr:cNvPr id="647" name="Straight Connector 646">
              <a:extLst>
                <a:ext uri="{FF2B5EF4-FFF2-40B4-BE49-F238E27FC236}">
                  <a16:creationId xmlns:a16="http://schemas.microsoft.com/office/drawing/2014/main" id="{00000000-0008-0000-0000-000087020000}"/>
                </a:ext>
              </a:extLst>
            </xdr:cNvPr>
            <xdr:cNvCxnSpPr/>
          </xdr:nvCxnSpPr>
          <xdr:spPr>
            <a:xfrm>
              <a:off x="3061913" y="734953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648" name="Straight Connector 647">
              <a:extLst>
                <a:ext uri="{FF2B5EF4-FFF2-40B4-BE49-F238E27FC236}">
                  <a16:creationId xmlns:a16="http://schemas.microsoft.com/office/drawing/2014/main" id="{00000000-0008-0000-0000-00008802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649" name="Straight Connector 648">
              <a:extLst>
                <a:ext uri="{FF2B5EF4-FFF2-40B4-BE49-F238E27FC236}">
                  <a16:creationId xmlns:a16="http://schemas.microsoft.com/office/drawing/2014/main" id="{00000000-0008-0000-0000-000089020000}"/>
                </a:ext>
              </a:extLst>
            </xdr:cNvPr>
            <xdr:cNvCxnSpPr/>
          </xdr:nvCxnSpPr>
          <xdr:spPr>
            <a:xfrm>
              <a:off x="5353101" y="7371839"/>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650" name="Straight Connector 649">
              <a:extLst>
                <a:ext uri="{FF2B5EF4-FFF2-40B4-BE49-F238E27FC236}">
                  <a16:creationId xmlns:a16="http://schemas.microsoft.com/office/drawing/2014/main" id="{00000000-0008-0000-0000-00008A020000}"/>
                </a:ext>
              </a:extLst>
            </xdr:cNvPr>
            <xdr:cNvCxnSpPr/>
          </xdr:nvCxnSpPr>
          <xdr:spPr>
            <a:xfrm>
              <a:off x="1748944" y="7257898"/>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18</xdr:col>
      <xdr:colOff>202505</xdr:colOff>
      <xdr:row>78</xdr:row>
      <xdr:rowOff>25545</xdr:rowOff>
    </xdr:from>
    <xdr:to>
      <xdr:col>25</xdr:col>
      <xdr:colOff>43314</xdr:colOff>
      <xdr:row>102</xdr:row>
      <xdr:rowOff>52933</xdr:rowOff>
    </xdr:to>
    <xdr:grpSp>
      <xdr:nvGrpSpPr>
        <xdr:cNvPr id="682" name="Group 681">
          <a:extLst>
            <a:ext uri="{FF2B5EF4-FFF2-40B4-BE49-F238E27FC236}">
              <a16:creationId xmlns:a16="http://schemas.microsoft.com/office/drawing/2014/main" id="{00000000-0008-0000-0000-0000AA020000}"/>
            </a:ext>
          </a:extLst>
        </xdr:cNvPr>
        <xdr:cNvGrpSpPr/>
      </xdr:nvGrpSpPr>
      <xdr:grpSpPr>
        <a:xfrm>
          <a:off x="13526557" y="14542959"/>
          <a:ext cx="6125119" cy="4527129"/>
          <a:chOff x="7011010" y="13776271"/>
          <a:chExt cx="6132727" cy="4375524"/>
        </a:xfrm>
      </xdr:grpSpPr>
      <xdr:grpSp>
        <xdr:nvGrpSpPr>
          <xdr:cNvPr id="683" name="Group 682">
            <a:extLst>
              <a:ext uri="{FF2B5EF4-FFF2-40B4-BE49-F238E27FC236}">
                <a16:creationId xmlns:a16="http://schemas.microsoft.com/office/drawing/2014/main" id="{00000000-0008-0000-0000-0000AB020000}"/>
              </a:ext>
            </a:extLst>
          </xdr:cNvPr>
          <xdr:cNvGrpSpPr/>
        </xdr:nvGrpSpPr>
        <xdr:grpSpPr>
          <a:xfrm>
            <a:off x="7011010" y="13776271"/>
            <a:ext cx="6132727" cy="4375524"/>
            <a:chOff x="344766" y="4265801"/>
            <a:chExt cx="6055631" cy="4281500"/>
          </a:xfrm>
        </xdr:grpSpPr>
        <xdr:grpSp>
          <xdr:nvGrpSpPr>
            <xdr:cNvPr id="715" name="Group 714">
              <a:extLst>
                <a:ext uri="{FF2B5EF4-FFF2-40B4-BE49-F238E27FC236}">
                  <a16:creationId xmlns:a16="http://schemas.microsoft.com/office/drawing/2014/main" id="{00000000-0008-0000-0000-0000CB020000}"/>
                </a:ext>
              </a:extLst>
            </xdr:cNvPr>
            <xdr:cNvGrpSpPr>
              <a:grpSpLocks/>
            </xdr:cNvGrpSpPr>
          </xdr:nvGrpSpPr>
          <xdr:grpSpPr>
            <a:xfrm>
              <a:off x="344766" y="4265801"/>
              <a:ext cx="6055631" cy="4281500"/>
              <a:chOff x="4615628" y="16240125"/>
              <a:chExt cx="5388081" cy="4325195"/>
            </a:xfrm>
          </xdr:grpSpPr>
          <xdr:sp macro="" textlink="">
            <xdr:nvSpPr>
              <xdr:cNvPr id="724" name="Rectangle 723">
                <a:extLst>
                  <a:ext uri="{FF2B5EF4-FFF2-40B4-BE49-F238E27FC236}">
                    <a16:creationId xmlns:a16="http://schemas.microsoft.com/office/drawing/2014/main" id="{00000000-0008-0000-0000-0000D402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25" name="Group 724">
                <a:extLst>
                  <a:ext uri="{FF2B5EF4-FFF2-40B4-BE49-F238E27FC236}">
                    <a16:creationId xmlns:a16="http://schemas.microsoft.com/office/drawing/2014/main" id="{00000000-0008-0000-0000-0000D5020000}"/>
                  </a:ext>
                </a:extLst>
              </xdr:cNvPr>
              <xdr:cNvGrpSpPr/>
            </xdr:nvGrpSpPr>
            <xdr:grpSpPr>
              <a:xfrm>
                <a:off x="4615628" y="16240125"/>
                <a:ext cx="5388081" cy="4325195"/>
                <a:chOff x="4615628" y="16240125"/>
                <a:chExt cx="5388081" cy="4325195"/>
              </a:xfrm>
            </xdr:grpSpPr>
            <xdr:sp macro="" textlink="">
              <xdr:nvSpPr>
                <xdr:cNvPr id="732" name="Rectangle: Rounded Corners 731">
                  <a:extLst>
                    <a:ext uri="{FF2B5EF4-FFF2-40B4-BE49-F238E27FC236}">
                      <a16:creationId xmlns:a16="http://schemas.microsoft.com/office/drawing/2014/main" id="{00000000-0008-0000-0000-0000DC02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33" name="Group 732">
                  <a:extLst>
                    <a:ext uri="{FF2B5EF4-FFF2-40B4-BE49-F238E27FC236}">
                      <a16:creationId xmlns:a16="http://schemas.microsoft.com/office/drawing/2014/main" id="{00000000-0008-0000-0000-0000DD020000}"/>
                    </a:ext>
                  </a:extLst>
                </xdr:cNvPr>
                <xdr:cNvGrpSpPr/>
              </xdr:nvGrpSpPr>
              <xdr:grpSpPr>
                <a:xfrm>
                  <a:off x="4615628" y="16240125"/>
                  <a:ext cx="5388081" cy="4325195"/>
                  <a:chOff x="4615628" y="16240125"/>
                  <a:chExt cx="5388081" cy="4325195"/>
                </a:xfrm>
              </xdr:grpSpPr>
              <xdr:sp macro="" textlink="">
                <xdr:nvSpPr>
                  <xdr:cNvPr id="735" name="TextBox 734">
                    <a:extLst>
                      <a:ext uri="{FF2B5EF4-FFF2-40B4-BE49-F238E27FC236}">
                        <a16:creationId xmlns:a16="http://schemas.microsoft.com/office/drawing/2014/main" id="{00000000-0008-0000-0000-0000DF020000}"/>
                      </a:ext>
                    </a:extLst>
                  </xdr:cNvPr>
                  <xdr:cNvSpPr txBox="1"/>
                </xdr:nvSpPr>
                <xdr:spPr>
                  <a:xfrm rot="10800000">
                    <a:off x="4616920" y="19139810"/>
                    <a:ext cx="5386535" cy="1425510"/>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736" name="TextBox 735">
                    <a:extLst>
                      <a:ext uri="{FF2B5EF4-FFF2-40B4-BE49-F238E27FC236}">
                        <a16:creationId xmlns:a16="http://schemas.microsoft.com/office/drawing/2014/main" id="{00000000-0008-0000-0000-0000E0020000}"/>
                      </a:ext>
                    </a:extLst>
                  </xdr:cNvPr>
                  <xdr:cNvSpPr txBox="1"/>
                </xdr:nvSpPr>
                <xdr:spPr>
                  <a:xfrm rot="5400000">
                    <a:off x="8531448" y="18482441"/>
                    <a:ext cx="2853472" cy="87824"/>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737" name="TextBox 736">
                    <a:extLst>
                      <a:ext uri="{FF2B5EF4-FFF2-40B4-BE49-F238E27FC236}">
                        <a16:creationId xmlns:a16="http://schemas.microsoft.com/office/drawing/2014/main" id="{00000000-0008-0000-0000-0000E1020000}"/>
                      </a:ext>
                    </a:extLst>
                  </xdr:cNvPr>
                  <xdr:cNvSpPr txBox="1"/>
                </xdr:nvSpPr>
                <xdr:spPr>
                  <a:xfrm>
                    <a:off x="4615628" y="16240125"/>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738" name="Rectangle 737">
                    <a:extLst>
                      <a:ext uri="{FF2B5EF4-FFF2-40B4-BE49-F238E27FC236}">
                        <a16:creationId xmlns:a16="http://schemas.microsoft.com/office/drawing/2014/main" id="{00000000-0008-0000-0000-0000E2020000}"/>
                      </a:ext>
                    </a:extLst>
                  </xdr:cNvPr>
                  <xdr:cNvSpPr/>
                </xdr:nvSpPr>
                <xdr:spPr>
                  <a:xfrm>
                    <a:off x="4617489" y="17304469"/>
                    <a:ext cx="1552110" cy="2531057"/>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734" name="Rectangle: Rounded Corners 733">
                  <a:extLst>
                    <a:ext uri="{FF2B5EF4-FFF2-40B4-BE49-F238E27FC236}">
                      <a16:creationId xmlns:a16="http://schemas.microsoft.com/office/drawing/2014/main" id="{00000000-0008-0000-0000-0000DE020000}"/>
                    </a:ext>
                  </a:extLst>
                </xdr:cNvPr>
                <xdr:cNvSpPr/>
              </xdr:nvSpPr>
              <xdr:spPr>
                <a:xfrm>
                  <a:off x="4697081" y="19659103"/>
                  <a:ext cx="5258895"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726" name="Rectangle: Rounded Corners 725">
                <a:extLst>
                  <a:ext uri="{FF2B5EF4-FFF2-40B4-BE49-F238E27FC236}">
                    <a16:creationId xmlns:a16="http://schemas.microsoft.com/office/drawing/2014/main" id="{00000000-0008-0000-0000-0000D602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7" name="Rectangle: Rounded Corners 726">
                <a:extLst>
                  <a:ext uri="{FF2B5EF4-FFF2-40B4-BE49-F238E27FC236}">
                    <a16:creationId xmlns:a16="http://schemas.microsoft.com/office/drawing/2014/main" id="{00000000-0008-0000-0000-0000D702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28" name="TextBox 727">
                <a:extLst>
                  <a:ext uri="{FF2B5EF4-FFF2-40B4-BE49-F238E27FC236}">
                    <a16:creationId xmlns:a16="http://schemas.microsoft.com/office/drawing/2014/main" id="{00000000-0008-0000-0000-0000D802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729" name="TextBox 728">
                <a:extLst>
                  <a:ext uri="{FF2B5EF4-FFF2-40B4-BE49-F238E27FC236}">
                    <a16:creationId xmlns:a16="http://schemas.microsoft.com/office/drawing/2014/main" id="{00000000-0008-0000-0000-0000D9020000}"/>
                  </a:ext>
                </a:extLst>
              </xdr:cNvPr>
              <xdr:cNvSpPr txBox="1"/>
            </xdr:nvSpPr>
            <xdr:spPr>
              <a:xfrm>
                <a:off x="5288167" y="18621340"/>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730" name="TextBox 729">
                <a:extLst>
                  <a:ext uri="{FF2B5EF4-FFF2-40B4-BE49-F238E27FC236}">
                    <a16:creationId xmlns:a16="http://schemas.microsoft.com/office/drawing/2014/main" id="{00000000-0008-0000-0000-0000DA020000}"/>
                  </a:ext>
                </a:extLst>
              </xdr:cNvPr>
              <xdr:cNvSpPr txBox="1"/>
            </xdr:nvSpPr>
            <xdr:spPr>
              <a:xfrm>
                <a:off x="4882350" y="17471741"/>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731" name="Rectangle: Rounded Corners 730">
                <a:extLst>
                  <a:ext uri="{FF2B5EF4-FFF2-40B4-BE49-F238E27FC236}">
                    <a16:creationId xmlns:a16="http://schemas.microsoft.com/office/drawing/2014/main" id="{00000000-0008-0000-0000-0000DB02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716" name="Group 715">
              <a:extLst>
                <a:ext uri="{FF2B5EF4-FFF2-40B4-BE49-F238E27FC236}">
                  <a16:creationId xmlns:a16="http://schemas.microsoft.com/office/drawing/2014/main" id="{00000000-0008-0000-0000-0000CC020000}"/>
                </a:ext>
              </a:extLst>
            </xdr:cNvPr>
            <xdr:cNvGrpSpPr/>
          </xdr:nvGrpSpPr>
          <xdr:grpSpPr>
            <a:xfrm>
              <a:off x="483811" y="7299688"/>
              <a:ext cx="5557778" cy="914201"/>
              <a:chOff x="483811" y="7299688"/>
              <a:chExt cx="5557778" cy="914201"/>
            </a:xfrm>
          </xdr:grpSpPr>
          <xdr:sp macro="" textlink="">
            <xdr:nvSpPr>
              <xdr:cNvPr id="717" name="TextBox 716">
                <a:extLst>
                  <a:ext uri="{FF2B5EF4-FFF2-40B4-BE49-F238E27FC236}">
                    <a16:creationId xmlns:a16="http://schemas.microsoft.com/office/drawing/2014/main" id="{00000000-0008-0000-0000-0000CD02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718" name="TextBox 717">
                <a:extLst>
                  <a:ext uri="{FF2B5EF4-FFF2-40B4-BE49-F238E27FC236}">
                    <a16:creationId xmlns:a16="http://schemas.microsoft.com/office/drawing/2014/main" id="{00000000-0008-0000-0000-0000CE02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719" name="TextBox 718">
                <a:extLst>
                  <a:ext uri="{FF2B5EF4-FFF2-40B4-BE49-F238E27FC236}">
                    <a16:creationId xmlns:a16="http://schemas.microsoft.com/office/drawing/2014/main" id="{00000000-0008-0000-0000-0000CF02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720" name="TextBox 719">
                <a:extLst>
                  <a:ext uri="{FF2B5EF4-FFF2-40B4-BE49-F238E27FC236}">
                    <a16:creationId xmlns:a16="http://schemas.microsoft.com/office/drawing/2014/main" id="{00000000-0008-0000-0000-0000D002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721" name="TextBox 720">
                <a:extLst>
                  <a:ext uri="{FF2B5EF4-FFF2-40B4-BE49-F238E27FC236}">
                    <a16:creationId xmlns:a16="http://schemas.microsoft.com/office/drawing/2014/main" id="{00000000-0008-0000-0000-0000D102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722" name="TextBox 721">
                <a:extLst>
                  <a:ext uri="{FF2B5EF4-FFF2-40B4-BE49-F238E27FC236}">
                    <a16:creationId xmlns:a16="http://schemas.microsoft.com/office/drawing/2014/main" id="{00000000-0008-0000-0000-0000D202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723" name="TextBox 722">
                <a:extLst>
                  <a:ext uri="{FF2B5EF4-FFF2-40B4-BE49-F238E27FC236}">
                    <a16:creationId xmlns:a16="http://schemas.microsoft.com/office/drawing/2014/main" id="{00000000-0008-0000-0000-0000D302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grpSp>
        <xdr:nvGrpSpPr>
          <xdr:cNvPr id="684" name="Group 683">
            <a:extLst>
              <a:ext uri="{FF2B5EF4-FFF2-40B4-BE49-F238E27FC236}">
                <a16:creationId xmlns:a16="http://schemas.microsoft.com/office/drawing/2014/main" id="{00000000-0008-0000-0000-0000AC020000}"/>
              </a:ext>
            </a:extLst>
          </xdr:cNvPr>
          <xdr:cNvGrpSpPr/>
        </xdr:nvGrpSpPr>
        <xdr:grpSpPr>
          <a:xfrm>
            <a:off x="8796120" y="13997321"/>
            <a:ext cx="4201617" cy="616692"/>
            <a:chOff x="9906558" y="15967955"/>
            <a:chExt cx="4177023" cy="603806"/>
          </a:xfrm>
        </xdr:grpSpPr>
        <xdr:grpSp>
          <xdr:nvGrpSpPr>
            <xdr:cNvPr id="706" name="Group 705">
              <a:extLst>
                <a:ext uri="{FF2B5EF4-FFF2-40B4-BE49-F238E27FC236}">
                  <a16:creationId xmlns:a16="http://schemas.microsoft.com/office/drawing/2014/main" id="{00000000-0008-0000-0000-0000C2020000}"/>
                </a:ext>
              </a:extLst>
            </xdr:cNvPr>
            <xdr:cNvGrpSpPr/>
          </xdr:nvGrpSpPr>
          <xdr:grpSpPr>
            <a:xfrm>
              <a:off x="9906558" y="15967955"/>
              <a:ext cx="4177023" cy="603806"/>
              <a:chOff x="9772834" y="16020484"/>
              <a:chExt cx="4173657" cy="595815"/>
            </a:xfrm>
          </xdr:grpSpPr>
          <xdr:sp macro="" textlink="">
            <xdr:nvSpPr>
              <xdr:cNvPr id="708" name="Rectangle: Rounded Corners 707">
                <a:extLst>
                  <a:ext uri="{FF2B5EF4-FFF2-40B4-BE49-F238E27FC236}">
                    <a16:creationId xmlns:a16="http://schemas.microsoft.com/office/drawing/2014/main" id="{00000000-0008-0000-0000-0000C402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09" name="Rectangle: Rounded Corners 708">
                <a:extLst>
                  <a:ext uri="{FF2B5EF4-FFF2-40B4-BE49-F238E27FC236}">
                    <a16:creationId xmlns:a16="http://schemas.microsoft.com/office/drawing/2014/main" id="{00000000-0008-0000-0000-0000C502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10" name="Straight Connector 709">
                <a:extLst>
                  <a:ext uri="{FF2B5EF4-FFF2-40B4-BE49-F238E27FC236}">
                    <a16:creationId xmlns:a16="http://schemas.microsoft.com/office/drawing/2014/main" id="{00000000-0008-0000-0000-0000C6020000}"/>
                  </a:ext>
                </a:extLst>
              </xdr:cNvPr>
              <xdr:cNvCxnSpPr/>
            </xdr:nvCxnSpPr>
            <xdr:spPr>
              <a:xfrm>
                <a:off x="10466812" y="16090026"/>
                <a:ext cx="1790" cy="52627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11" name="Straight Connector 710">
                <a:extLst>
                  <a:ext uri="{FF2B5EF4-FFF2-40B4-BE49-F238E27FC236}">
                    <a16:creationId xmlns:a16="http://schemas.microsoft.com/office/drawing/2014/main" id="{00000000-0008-0000-0000-0000C7020000}"/>
                  </a:ext>
                </a:extLst>
              </xdr:cNvPr>
              <xdr:cNvCxnSpPr/>
            </xdr:nvCxnSpPr>
            <xdr:spPr>
              <a:xfrm>
                <a:off x="11098469" y="16073671"/>
                <a:ext cx="7669" cy="51995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sp macro="" textlink="">
            <xdr:nvSpPr>
              <xdr:cNvPr id="712" name="TextBox 711">
                <a:extLst>
                  <a:ext uri="{FF2B5EF4-FFF2-40B4-BE49-F238E27FC236}">
                    <a16:creationId xmlns:a16="http://schemas.microsoft.com/office/drawing/2014/main" id="{00000000-0008-0000-0000-0000C802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713" name="TextBox 712">
                <a:extLst>
                  <a:ext uri="{FF2B5EF4-FFF2-40B4-BE49-F238E27FC236}">
                    <a16:creationId xmlns:a16="http://schemas.microsoft.com/office/drawing/2014/main" id="{00000000-0008-0000-0000-0000C902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714" name="TextBox 713">
                <a:extLst>
                  <a:ext uri="{FF2B5EF4-FFF2-40B4-BE49-F238E27FC236}">
                    <a16:creationId xmlns:a16="http://schemas.microsoft.com/office/drawing/2014/main" id="{00000000-0008-0000-0000-0000CA02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707" name="TextBox 706">
              <a:extLst>
                <a:ext uri="{FF2B5EF4-FFF2-40B4-BE49-F238E27FC236}">
                  <a16:creationId xmlns:a16="http://schemas.microsoft.com/office/drawing/2014/main" id="{00000000-0008-0000-0000-0000C3020000}"/>
                </a:ext>
              </a:extLst>
            </xdr:cNvPr>
            <xdr:cNvSpPr txBox="1"/>
          </xdr:nvSpPr>
          <xdr:spPr>
            <a:xfrm>
              <a:off x="13227225" y="16269001"/>
              <a:ext cx="662214" cy="288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grpSp>
      <xdr:sp macro="" textlink="">
        <xdr:nvSpPr>
          <xdr:cNvPr id="685" name="TextBox 684">
            <a:extLst>
              <a:ext uri="{FF2B5EF4-FFF2-40B4-BE49-F238E27FC236}">
                <a16:creationId xmlns:a16="http://schemas.microsoft.com/office/drawing/2014/main" id="{00000000-0008-0000-0000-0000AD020000}"/>
              </a:ext>
            </a:extLst>
          </xdr:cNvPr>
          <xdr:cNvSpPr txBox="1"/>
        </xdr:nvSpPr>
        <xdr:spPr>
          <a:xfrm>
            <a:off x="7081195" y="13940497"/>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VI</a:t>
            </a:r>
            <a:endParaRPr lang="en-IN" sz="3100" b="1" i="0" spc="200" baseline="0">
              <a:solidFill>
                <a:schemeClr val="bg1"/>
              </a:solidFill>
              <a:latin typeface="Calisto MT" panose="02040603050505030304" pitchFamily="18" charset="0"/>
            </a:endParaRPr>
          </a:p>
        </xdr:txBody>
      </xdr:sp>
      <xdr:sp macro="" textlink="FinalAnalysis!C68">
        <xdr:nvSpPr>
          <xdr:cNvPr id="686" name="TextBox 685">
            <a:extLst>
              <a:ext uri="{FF2B5EF4-FFF2-40B4-BE49-F238E27FC236}">
                <a16:creationId xmlns:a16="http://schemas.microsoft.com/office/drawing/2014/main" id="{00000000-0008-0000-0000-0000AE020000}"/>
              </a:ext>
            </a:extLst>
          </xdr:cNvPr>
          <xdr:cNvSpPr txBox="1"/>
        </xdr:nvSpPr>
        <xdr:spPr>
          <a:xfrm>
            <a:off x="8597050" y="1732850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EBB2388E-A87D-4610-9D29-2D047E16EA1C}" type="TxLink">
              <a:rPr lang="en-US" sz="1200" b="1" i="0" u="none" strike="noStrike">
                <a:solidFill>
                  <a:srgbClr val="002060"/>
                </a:solidFill>
                <a:latin typeface="Comic Sans MS" panose="030F0702030302020204" pitchFamily="66" charset="0"/>
                <a:ea typeface="Calibri"/>
                <a:cs typeface="Calibri"/>
              </a:rPr>
              <a:pPr marL="0" indent="0" algn="r"/>
              <a:t>₹ 78,500.00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8">
        <xdr:nvSpPr>
          <xdr:cNvPr id="687" name="TextBox 686">
            <a:extLst>
              <a:ext uri="{FF2B5EF4-FFF2-40B4-BE49-F238E27FC236}">
                <a16:creationId xmlns:a16="http://schemas.microsoft.com/office/drawing/2014/main" id="{00000000-0008-0000-0000-0000AF020000}"/>
              </a:ext>
            </a:extLst>
          </xdr:cNvPr>
          <xdr:cNvSpPr txBox="1"/>
        </xdr:nvSpPr>
        <xdr:spPr>
          <a:xfrm>
            <a:off x="9791462" y="1735915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4D4AB6EA-A3C1-4F93-9EBA-FE7111DB72DD}" type="TxLink">
              <a:rPr lang="en-US" sz="1200" b="1" i="0" u="none" strike="noStrike">
                <a:solidFill>
                  <a:srgbClr val="002060"/>
                </a:solidFill>
                <a:latin typeface="Comic Sans MS" panose="030F0702030302020204" pitchFamily="66" charset="0"/>
                <a:ea typeface="Calibri"/>
                <a:cs typeface="Calibri"/>
              </a:rPr>
              <a:pPr marL="0" indent="0" algn="r"/>
              <a:t>₹ 10,000.00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8">
        <xdr:nvSpPr>
          <xdr:cNvPr id="688" name="TextBox 687">
            <a:extLst>
              <a:ext uri="{FF2B5EF4-FFF2-40B4-BE49-F238E27FC236}">
                <a16:creationId xmlns:a16="http://schemas.microsoft.com/office/drawing/2014/main" id="{00000000-0008-0000-0000-0000B0020000}"/>
              </a:ext>
            </a:extLst>
          </xdr:cNvPr>
          <xdr:cNvSpPr txBox="1"/>
        </xdr:nvSpPr>
        <xdr:spPr>
          <a:xfrm>
            <a:off x="10982430" y="1738759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CF34B6A6-CBD2-413D-85B8-BC9388E3BEEB}" type="TxLink">
              <a:rPr lang="en-US" sz="1200" b="1" i="0" u="none" strike="noStrike">
                <a:solidFill>
                  <a:srgbClr val="002060"/>
                </a:solidFill>
                <a:latin typeface="Comic Sans MS" panose="030F0702030302020204" pitchFamily="66" charset="0"/>
                <a:ea typeface="Calibri"/>
                <a:cs typeface="Calibri"/>
              </a:rPr>
              <a:pPr marL="0" indent="0" algn="r"/>
              <a:t>₹ 11,500.00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8">
        <xdr:nvSpPr>
          <xdr:cNvPr id="689" name="TextBox 688">
            <a:extLst>
              <a:ext uri="{FF2B5EF4-FFF2-40B4-BE49-F238E27FC236}">
                <a16:creationId xmlns:a16="http://schemas.microsoft.com/office/drawing/2014/main" id="{00000000-0008-0000-0000-0000B1020000}"/>
              </a:ext>
            </a:extLst>
          </xdr:cNvPr>
          <xdr:cNvSpPr txBox="1"/>
        </xdr:nvSpPr>
        <xdr:spPr>
          <a:xfrm>
            <a:off x="12002596" y="1737645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CCCF74C3-DE93-4BC4-9BA9-4440BDC46469}" type="TxLink">
              <a:rPr lang="en-US" sz="1200" b="1" i="0" u="none" strike="noStrike">
                <a:solidFill>
                  <a:srgbClr val="002060"/>
                </a:solidFill>
                <a:latin typeface="Comic Sans MS" panose="030F0702030302020204" pitchFamily="66" charset="0"/>
                <a:ea typeface="Calibri"/>
                <a:cs typeface="Calibri"/>
              </a:rPr>
              <a:pPr marL="0" indent="0" algn="r"/>
              <a:t>₹ 80,000.00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8">
        <xdr:nvSpPr>
          <xdr:cNvPr id="690" name="TextBox 689">
            <a:extLst>
              <a:ext uri="{FF2B5EF4-FFF2-40B4-BE49-F238E27FC236}">
                <a16:creationId xmlns:a16="http://schemas.microsoft.com/office/drawing/2014/main" id="{00000000-0008-0000-0000-0000B2020000}"/>
              </a:ext>
            </a:extLst>
          </xdr:cNvPr>
          <xdr:cNvSpPr txBox="1"/>
        </xdr:nvSpPr>
        <xdr:spPr>
          <a:xfrm>
            <a:off x="8663703" y="1764677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C72DC83B-0A89-4C0E-93AC-3C71423A8898}" type="TxLink">
              <a:rPr lang="en-US" sz="1200" b="1" i="0" u="none" strike="noStrike">
                <a:solidFill>
                  <a:srgbClr val="002060"/>
                </a:solidFill>
                <a:latin typeface="Comic Sans MS" panose="030F0702030302020204" pitchFamily="66" charset="0"/>
                <a:ea typeface="Calibri"/>
                <a:cs typeface="Calibri"/>
              </a:rPr>
              <a:pPr marL="0" indent="0" algn="r"/>
              <a:t>₹ 1,500.00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8">
        <xdr:nvSpPr>
          <xdr:cNvPr id="691" name="TextBox 690">
            <a:extLst>
              <a:ext uri="{FF2B5EF4-FFF2-40B4-BE49-F238E27FC236}">
                <a16:creationId xmlns:a16="http://schemas.microsoft.com/office/drawing/2014/main" id="{00000000-0008-0000-0000-0000B3020000}"/>
              </a:ext>
            </a:extLst>
          </xdr:cNvPr>
          <xdr:cNvSpPr txBox="1"/>
        </xdr:nvSpPr>
        <xdr:spPr>
          <a:xfrm>
            <a:off x="9781382" y="1764377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9B0C707B-2B96-4012-9BD7-F6C3EC8D4FD2}" type="TxLink">
              <a:rPr lang="en-US" sz="1200" b="1" i="0" u="none" strike="noStrike">
                <a:solidFill>
                  <a:srgbClr val="002060"/>
                </a:solidFill>
                <a:latin typeface="Comic Sans MS" panose="030F0702030302020204" pitchFamily="66" charset="0"/>
                <a:ea typeface="Calibri"/>
                <a:cs typeface="Calibri"/>
              </a:rPr>
              <a:pPr marL="0" indent="0" algn="r"/>
              <a:t>₹ 10,000.00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8">
        <xdr:nvSpPr>
          <xdr:cNvPr id="692" name="TextBox 691">
            <a:extLst>
              <a:ext uri="{FF2B5EF4-FFF2-40B4-BE49-F238E27FC236}">
                <a16:creationId xmlns:a16="http://schemas.microsoft.com/office/drawing/2014/main" id="{00000000-0008-0000-0000-0000B4020000}"/>
              </a:ext>
            </a:extLst>
          </xdr:cNvPr>
          <xdr:cNvSpPr txBox="1"/>
        </xdr:nvSpPr>
        <xdr:spPr>
          <a:xfrm>
            <a:off x="10982430" y="1766711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AE27FFB-50FE-4A5E-9330-510BA903FCF8}" type="TxLink">
              <a:rPr lang="en-US" sz="1200" b="1" i="0" u="none" strike="noStrike">
                <a:solidFill>
                  <a:srgbClr val="002060"/>
                </a:solidFill>
                <a:latin typeface="Comic Sans MS" panose="030F0702030302020204" pitchFamily="66" charset="0"/>
                <a:ea typeface="Calibri"/>
                <a:cs typeface="Calibri"/>
              </a:rPr>
              <a:pPr marL="0" indent="0" algn="r"/>
              <a:t>₹ 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8">
        <xdr:nvSpPr>
          <xdr:cNvPr id="693" name="TextBox 692">
            <a:extLst>
              <a:ext uri="{FF2B5EF4-FFF2-40B4-BE49-F238E27FC236}">
                <a16:creationId xmlns:a16="http://schemas.microsoft.com/office/drawing/2014/main" id="{00000000-0008-0000-0000-0000B5020000}"/>
              </a:ext>
            </a:extLst>
          </xdr:cNvPr>
          <xdr:cNvSpPr txBox="1"/>
        </xdr:nvSpPr>
        <xdr:spPr>
          <a:xfrm>
            <a:off x="11992516" y="1765597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72693E7-833D-4D78-AF92-E9D4572720A2}" type="TxLink">
              <a:rPr lang="en-US" sz="1200" b="1" i="0" u="none" strike="noStrike">
                <a:solidFill>
                  <a:srgbClr val="002060"/>
                </a:solidFill>
                <a:latin typeface="Comic Sans MS" panose="030F0702030302020204" pitchFamily="66" charset="0"/>
                <a:ea typeface="Calibri"/>
                <a:cs typeface="Calibri"/>
              </a:rPr>
              <a:pPr marL="0" indent="0" algn="r"/>
              <a:t>₹ 1,02,000.00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C30">
        <xdr:nvSpPr>
          <xdr:cNvPr id="694" name="TextBox 693">
            <a:extLst>
              <a:ext uri="{FF2B5EF4-FFF2-40B4-BE49-F238E27FC236}">
                <a16:creationId xmlns:a16="http://schemas.microsoft.com/office/drawing/2014/main" id="{00000000-0008-0000-0000-0000B6020000}"/>
              </a:ext>
            </a:extLst>
          </xdr:cNvPr>
          <xdr:cNvSpPr txBox="1"/>
        </xdr:nvSpPr>
        <xdr:spPr>
          <a:xfrm>
            <a:off x="11145202" y="14139935"/>
            <a:ext cx="678146" cy="263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EC5092DF-49AF-4309-AD51-40DA9D07A489}" type="TxLink">
              <a:rPr lang="en-US" sz="1100" b="1" i="1" u="none" strike="noStrike">
                <a:solidFill>
                  <a:srgbClr val="002060"/>
                </a:solidFill>
                <a:latin typeface="Comic Sans MS" panose="030F0702030302020204" pitchFamily="66" charset="0"/>
                <a:ea typeface="+mn-ea"/>
                <a:cs typeface="+mn-cs"/>
              </a:rPr>
              <a:pPr marL="0" indent="0" algn="l"/>
              <a:t>Overall</a:t>
            </a:fld>
            <a:endParaRPr lang="en-IN" sz="1100" b="1" i="1" u="none" strike="noStrike">
              <a:solidFill>
                <a:srgbClr val="002060"/>
              </a:solidFill>
              <a:latin typeface="Comic Sans MS" panose="030F0702030302020204" pitchFamily="66" charset="0"/>
              <a:ea typeface="+mn-ea"/>
              <a:cs typeface="+mn-cs"/>
            </a:endParaRPr>
          </a:p>
        </xdr:txBody>
      </xdr:sp>
      <xdr:sp macro="" textlink="FinalAnalysis!J41">
        <xdr:nvSpPr>
          <xdr:cNvPr id="695" name="TextBox 694">
            <a:extLst>
              <a:ext uri="{FF2B5EF4-FFF2-40B4-BE49-F238E27FC236}">
                <a16:creationId xmlns:a16="http://schemas.microsoft.com/office/drawing/2014/main" id="{00000000-0008-0000-0000-0000B7020000}"/>
              </a:ext>
            </a:extLst>
          </xdr:cNvPr>
          <xdr:cNvSpPr txBox="1"/>
        </xdr:nvSpPr>
        <xdr:spPr>
          <a:xfrm>
            <a:off x="9040729" y="14212719"/>
            <a:ext cx="326494" cy="259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0EA48DA7-677E-48A1-8521-8A6B49B3C165}" type="TxLink">
              <a:rPr lang="en-US" sz="1600" b="1" i="0" u="none" strike="noStrike">
                <a:solidFill>
                  <a:srgbClr val="002060"/>
                </a:solidFill>
                <a:latin typeface="Comic Sans MS" panose="030F0702030302020204" pitchFamily="66" charset="0"/>
                <a:ea typeface="+mn-ea"/>
                <a:cs typeface="+mn-cs"/>
              </a:rPr>
              <a:pPr marL="0" indent="0" algn="r"/>
              <a:t>10</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41">
        <xdr:nvSpPr>
          <xdr:cNvPr id="696" name="TextBox 695">
            <a:extLst>
              <a:ext uri="{FF2B5EF4-FFF2-40B4-BE49-F238E27FC236}">
                <a16:creationId xmlns:a16="http://schemas.microsoft.com/office/drawing/2014/main" id="{00000000-0008-0000-0000-0000B8020000}"/>
              </a:ext>
            </a:extLst>
          </xdr:cNvPr>
          <xdr:cNvSpPr txBox="1"/>
        </xdr:nvSpPr>
        <xdr:spPr>
          <a:xfrm>
            <a:off x="9598301" y="14216190"/>
            <a:ext cx="330021" cy="2775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469EB7D8-0172-4575-9458-1F18B8B56F78}" type="TxLink">
              <a:rPr lang="en-US" sz="1200" b="1" i="0" u="none" strike="noStrike">
                <a:solidFill>
                  <a:srgbClr val="002060"/>
                </a:solidFill>
                <a:latin typeface="Comic Sans MS" panose="030F0702030302020204" pitchFamily="66" charset="0"/>
                <a:ea typeface="+mn-ea"/>
                <a:cs typeface="+mn-cs"/>
              </a:rPr>
              <a:pPr marL="0" indent="0" algn="r"/>
              <a:t>2</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41">
        <xdr:nvSpPr>
          <xdr:cNvPr id="697" name="TextBox 696">
            <a:extLst>
              <a:ext uri="{FF2B5EF4-FFF2-40B4-BE49-F238E27FC236}">
                <a16:creationId xmlns:a16="http://schemas.microsoft.com/office/drawing/2014/main" id="{00000000-0008-0000-0000-0000B9020000}"/>
              </a:ext>
            </a:extLst>
          </xdr:cNvPr>
          <xdr:cNvSpPr txBox="1"/>
        </xdr:nvSpPr>
        <xdr:spPr>
          <a:xfrm>
            <a:off x="10223934" y="14213714"/>
            <a:ext cx="315912" cy="259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72ADBEE-38BD-4564-B98B-3FA578403C29}" type="TxLink">
              <a:rPr lang="en-US" sz="1200" b="1" i="0" u="none" strike="noStrike">
                <a:solidFill>
                  <a:srgbClr val="002060"/>
                </a:solidFill>
                <a:latin typeface="Comic Sans MS" panose="030F0702030302020204" pitchFamily="66" charset="0"/>
                <a:ea typeface="+mn-ea"/>
                <a:cs typeface="+mn-cs"/>
              </a:rPr>
              <a:pPr marL="0" indent="0" algn="r"/>
              <a:t>8</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41">
        <xdr:nvSpPr>
          <xdr:cNvPr id="698" name="TextBox 697">
            <a:extLst>
              <a:ext uri="{FF2B5EF4-FFF2-40B4-BE49-F238E27FC236}">
                <a16:creationId xmlns:a16="http://schemas.microsoft.com/office/drawing/2014/main" id="{00000000-0008-0000-0000-0000BA020000}"/>
              </a:ext>
            </a:extLst>
          </xdr:cNvPr>
          <xdr:cNvSpPr txBox="1"/>
        </xdr:nvSpPr>
        <xdr:spPr>
          <a:xfrm>
            <a:off x="8014623" y="15294712"/>
            <a:ext cx="740665" cy="24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A0510D7-C31E-42ED-8D75-1A478300444D}" type="TxLink">
              <a:rPr lang="en-US" sz="1200" b="1" i="0" u="none" strike="noStrike">
                <a:solidFill>
                  <a:srgbClr val="002060"/>
                </a:solidFill>
                <a:latin typeface="Comic Sans MS" panose="030F0702030302020204" pitchFamily="66" charset="0"/>
                <a:ea typeface="Calibri"/>
                <a:cs typeface="Calibri"/>
              </a:rPr>
              <a:pPr marL="0" indent="0" algn="r"/>
              <a:t>₹2,53,500.00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41">
        <xdr:nvSpPr>
          <xdr:cNvPr id="699" name="TextBox 698">
            <a:extLst>
              <a:ext uri="{FF2B5EF4-FFF2-40B4-BE49-F238E27FC236}">
                <a16:creationId xmlns:a16="http://schemas.microsoft.com/office/drawing/2014/main" id="{00000000-0008-0000-0000-0000BB020000}"/>
              </a:ext>
            </a:extLst>
          </xdr:cNvPr>
          <xdr:cNvSpPr txBox="1"/>
        </xdr:nvSpPr>
        <xdr:spPr>
          <a:xfrm>
            <a:off x="8002596" y="15800883"/>
            <a:ext cx="740665" cy="415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E6D8C452-F025-4143-B767-8DDCA2AA0941}" type="TxLink">
              <a:rPr lang="en-US" sz="1200" b="1" i="0" u="none" strike="noStrike">
                <a:solidFill>
                  <a:srgbClr val="002060"/>
                </a:solidFill>
                <a:latin typeface="Comic Sans MS" panose="030F0702030302020204" pitchFamily="66" charset="0"/>
                <a:ea typeface="Calibri"/>
                <a:cs typeface="Calibri"/>
              </a:rPr>
              <a:pPr marL="0" indent="0" algn="r"/>
              <a:t>₹1,80,000.00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41">
        <xdr:nvSpPr>
          <xdr:cNvPr id="700" name="TextBox 699">
            <a:extLst>
              <a:ext uri="{FF2B5EF4-FFF2-40B4-BE49-F238E27FC236}">
                <a16:creationId xmlns:a16="http://schemas.microsoft.com/office/drawing/2014/main" id="{00000000-0008-0000-0000-0000BC020000}"/>
              </a:ext>
            </a:extLst>
          </xdr:cNvPr>
          <xdr:cNvSpPr txBox="1"/>
        </xdr:nvSpPr>
        <xdr:spPr>
          <a:xfrm>
            <a:off x="8002596" y="16397542"/>
            <a:ext cx="740665" cy="386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EB1FF236-C34D-49D7-A2F0-232F7DDCE438}" type="TxLink">
              <a:rPr lang="en-US" sz="1200" b="1" i="0" u="none" strike="noStrike">
                <a:solidFill>
                  <a:srgbClr val="002060"/>
                </a:solidFill>
                <a:latin typeface="Comic Sans MS" panose="030F0702030302020204" pitchFamily="66" charset="0"/>
                <a:ea typeface="Calibri"/>
                <a:cs typeface="Calibri"/>
              </a:rPr>
              <a:pPr marL="0" indent="0" algn="r"/>
              <a:t>₹73,500.00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701" name="Group 700">
            <a:extLst>
              <a:ext uri="{FF2B5EF4-FFF2-40B4-BE49-F238E27FC236}">
                <a16:creationId xmlns:a16="http://schemas.microsoft.com/office/drawing/2014/main" id="{00000000-0008-0000-0000-0000BD020000}"/>
              </a:ext>
            </a:extLst>
          </xdr:cNvPr>
          <xdr:cNvGrpSpPr/>
        </xdr:nvGrpSpPr>
        <xdr:grpSpPr>
          <a:xfrm>
            <a:off x="8551479" y="16827407"/>
            <a:ext cx="3520238" cy="1240151"/>
            <a:chOff x="1893241" y="7278981"/>
            <a:chExt cx="3509076" cy="1223521"/>
          </a:xfrm>
        </xdr:grpSpPr>
        <xdr:cxnSp macro="">
          <xdr:nvCxnSpPr>
            <xdr:cNvPr id="702" name="Straight Connector 701">
              <a:extLst>
                <a:ext uri="{FF2B5EF4-FFF2-40B4-BE49-F238E27FC236}">
                  <a16:creationId xmlns:a16="http://schemas.microsoft.com/office/drawing/2014/main" id="{00000000-0008-0000-0000-0000BE020000}"/>
                </a:ext>
              </a:extLst>
            </xdr:cNvPr>
            <xdr:cNvCxnSpPr/>
          </xdr:nvCxnSpPr>
          <xdr:spPr>
            <a:xfrm>
              <a:off x="3061913" y="734953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03" name="Straight Connector 702">
              <a:extLst>
                <a:ext uri="{FF2B5EF4-FFF2-40B4-BE49-F238E27FC236}">
                  <a16:creationId xmlns:a16="http://schemas.microsoft.com/office/drawing/2014/main" id="{00000000-0008-0000-0000-0000BF02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04" name="Straight Connector 703">
              <a:extLst>
                <a:ext uri="{FF2B5EF4-FFF2-40B4-BE49-F238E27FC236}">
                  <a16:creationId xmlns:a16="http://schemas.microsoft.com/office/drawing/2014/main" id="{00000000-0008-0000-0000-0000C0020000}"/>
                </a:ext>
              </a:extLst>
            </xdr:cNvPr>
            <xdr:cNvCxnSpPr/>
          </xdr:nvCxnSpPr>
          <xdr:spPr>
            <a:xfrm>
              <a:off x="5397500" y="7361296"/>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05" name="Straight Connector 704">
              <a:extLst>
                <a:ext uri="{FF2B5EF4-FFF2-40B4-BE49-F238E27FC236}">
                  <a16:creationId xmlns:a16="http://schemas.microsoft.com/office/drawing/2014/main" id="{00000000-0008-0000-0000-0000C1020000}"/>
                </a:ext>
              </a:extLst>
            </xdr:cNvPr>
            <xdr:cNvCxnSpPr/>
          </xdr:nvCxnSpPr>
          <xdr:spPr>
            <a:xfrm>
              <a:off x="1893241" y="7278981"/>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10</xdr:col>
      <xdr:colOff>306551</xdr:colOff>
      <xdr:row>105</xdr:row>
      <xdr:rowOff>0</xdr:rowOff>
    </xdr:from>
    <xdr:to>
      <xdr:col>15</xdr:col>
      <xdr:colOff>526263</xdr:colOff>
      <xdr:row>129</xdr:row>
      <xdr:rowOff>117889</xdr:rowOff>
    </xdr:to>
    <xdr:grpSp>
      <xdr:nvGrpSpPr>
        <xdr:cNvPr id="739" name="Group 738">
          <a:extLst>
            <a:ext uri="{FF2B5EF4-FFF2-40B4-BE49-F238E27FC236}">
              <a16:creationId xmlns:a16="http://schemas.microsoft.com/office/drawing/2014/main" id="{00000000-0008-0000-0000-0000E3020000}"/>
            </a:ext>
          </a:extLst>
        </xdr:cNvPr>
        <xdr:cNvGrpSpPr/>
      </xdr:nvGrpSpPr>
      <xdr:grpSpPr>
        <a:xfrm>
          <a:off x="6853620" y="19608362"/>
          <a:ext cx="6120833" cy="4584786"/>
          <a:chOff x="308920" y="18675980"/>
          <a:chExt cx="6132162" cy="4387346"/>
        </a:xfrm>
      </xdr:grpSpPr>
      <xdr:grpSp>
        <xdr:nvGrpSpPr>
          <xdr:cNvPr id="740" name="Group 739">
            <a:extLst>
              <a:ext uri="{FF2B5EF4-FFF2-40B4-BE49-F238E27FC236}">
                <a16:creationId xmlns:a16="http://schemas.microsoft.com/office/drawing/2014/main" id="{00000000-0008-0000-0000-0000E4020000}"/>
              </a:ext>
            </a:extLst>
          </xdr:cNvPr>
          <xdr:cNvGrpSpPr/>
        </xdr:nvGrpSpPr>
        <xdr:grpSpPr>
          <a:xfrm>
            <a:off x="313913" y="18675980"/>
            <a:ext cx="6127169" cy="4387346"/>
            <a:chOff x="344766" y="4265801"/>
            <a:chExt cx="6055631" cy="4281500"/>
          </a:xfrm>
        </xdr:grpSpPr>
        <xdr:grpSp>
          <xdr:nvGrpSpPr>
            <xdr:cNvPr id="772" name="Group 771">
              <a:extLst>
                <a:ext uri="{FF2B5EF4-FFF2-40B4-BE49-F238E27FC236}">
                  <a16:creationId xmlns:a16="http://schemas.microsoft.com/office/drawing/2014/main" id="{00000000-0008-0000-0000-000004030000}"/>
                </a:ext>
              </a:extLst>
            </xdr:cNvPr>
            <xdr:cNvGrpSpPr>
              <a:grpSpLocks/>
            </xdr:cNvGrpSpPr>
          </xdr:nvGrpSpPr>
          <xdr:grpSpPr>
            <a:xfrm>
              <a:off x="344766" y="4265801"/>
              <a:ext cx="6055631" cy="4281500"/>
              <a:chOff x="4615628" y="16240125"/>
              <a:chExt cx="5388081" cy="4325195"/>
            </a:xfrm>
          </xdr:grpSpPr>
          <xdr:sp macro="" textlink="">
            <xdr:nvSpPr>
              <xdr:cNvPr id="781" name="Rectangle 780">
                <a:extLst>
                  <a:ext uri="{FF2B5EF4-FFF2-40B4-BE49-F238E27FC236}">
                    <a16:creationId xmlns:a16="http://schemas.microsoft.com/office/drawing/2014/main" id="{00000000-0008-0000-0000-00000D03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82" name="Group 781">
                <a:extLst>
                  <a:ext uri="{FF2B5EF4-FFF2-40B4-BE49-F238E27FC236}">
                    <a16:creationId xmlns:a16="http://schemas.microsoft.com/office/drawing/2014/main" id="{00000000-0008-0000-0000-00000E030000}"/>
                  </a:ext>
                </a:extLst>
              </xdr:cNvPr>
              <xdr:cNvGrpSpPr/>
            </xdr:nvGrpSpPr>
            <xdr:grpSpPr>
              <a:xfrm>
                <a:off x="4615628" y="16240125"/>
                <a:ext cx="5388081" cy="4325195"/>
                <a:chOff x="4615628" y="16240125"/>
                <a:chExt cx="5388081" cy="4325195"/>
              </a:xfrm>
            </xdr:grpSpPr>
            <xdr:sp macro="" textlink="">
              <xdr:nvSpPr>
                <xdr:cNvPr id="789" name="Rectangle: Rounded Corners 788">
                  <a:extLst>
                    <a:ext uri="{FF2B5EF4-FFF2-40B4-BE49-F238E27FC236}">
                      <a16:creationId xmlns:a16="http://schemas.microsoft.com/office/drawing/2014/main" id="{00000000-0008-0000-0000-00001503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90" name="Group 789">
                  <a:extLst>
                    <a:ext uri="{FF2B5EF4-FFF2-40B4-BE49-F238E27FC236}">
                      <a16:creationId xmlns:a16="http://schemas.microsoft.com/office/drawing/2014/main" id="{00000000-0008-0000-0000-000016030000}"/>
                    </a:ext>
                  </a:extLst>
                </xdr:cNvPr>
                <xdr:cNvGrpSpPr/>
              </xdr:nvGrpSpPr>
              <xdr:grpSpPr>
                <a:xfrm>
                  <a:off x="4615628" y="16240125"/>
                  <a:ext cx="5388081" cy="4325195"/>
                  <a:chOff x="4615628" y="16240125"/>
                  <a:chExt cx="5388081" cy="4325195"/>
                </a:xfrm>
              </xdr:grpSpPr>
              <xdr:sp macro="" textlink="">
                <xdr:nvSpPr>
                  <xdr:cNvPr id="792" name="TextBox 791">
                    <a:extLst>
                      <a:ext uri="{FF2B5EF4-FFF2-40B4-BE49-F238E27FC236}">
                        <a16:creationId xmlns:a16="http://schemas.microsoft.com/office/drawing/2014/main" id="{00000000-0008-0000-0000-000018030000}"/>
                      </a:ext>
                    </a:extLst>
                  </xdr:cNvPr>
                  <xdr:cNvSpPr txBox="1"/>
                </xdr:nvSpPr>
                <xdr:spPr>
                  <a:xfrm rot="10800000">
                    <a:off x="4616920" y="19139810"/>
                    <a:ext cx="5386535" cy="1425510"/>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793" name="TextBox 792">
                    <a:extLst>
                      <a:ext uri="{FF2B5EF4-FFF2-40B4-BE49-F238E27FC236}">
                        <a16:creationId xmlns:a16="http://schemas.microsoft.com/office/drawing/2014/main" id="{00000000-0008-0000-0000-000019030000}"/>
                      </a:ext>
                    </a:extLst>
                  </xdr:cNvPr>
                  <xdr:cNvSpPr txBox="1"/>
                </xdr:nvSpPr>
                <xdr:spPr>
                  <a:xfrm rot="5400000">
                    <a:off x="8531448" y="18482441"/>
                    <a:ext cx="2853472" cy="87824"/>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794" name="TextBox 793">
                    <a:extLst>
                      <a:ext uri="{FF2B5EF4-FFF2-40B4-BE49-F238E27FC236}">
                        <a16:creationId xmlns:a16="http://schemas.microsoft.com/office/drawing/2014/main" id="{00000000-0008-0000-0000-00001A030000}"/>
                      </a:ext>
                    </a:extLst>
                  </xdr:cNvPr>
                  <xdr:cNvSpPr txBox="1"/>
                </xdr:nvSpPr>
                <xdr:spPr>
                  <a:xfrm>
                    <a:off x="4615628" y="16240125"/>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795" name="Rectangle 794">
                    <a:extLst>
                      <a:ext uri="{FF2B5EF4-FFF2-40B4-BE49-F238E27FC236}">
                        <a16:creationId xmlns:a16="http://schemas.microsoft.com/office/drawing/2014/main" id="{00000000-0008-0000-0000-00001B030000}"/>
                      </a:ext>
                    </a:extLst>
                  </xdr:cNvPr>
                  <xdr:cNvSpPr/>
                </xdr:nvSpPr>
                <xdr:spPr>
                  <a:xfrm>
                    <a:off x="4617489" y="17304469"/>
                    <a:ext cx="1552110" cy="2531057"/>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791" name="Rectangle: Rounded Corners 790">
                  <a:extLst>
                    <a:ext uri="{FF2B5EF4-FFF2-40B4-BE49-F238E27FC236}">
                      <a16:creationId xmlns:a16="http://schemas.microsoft.com/office/drawing/2014/main" id="{00000000-0008-0000-0000-00001703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783" name="Rectangle: Rounded Corners 782">
                <a:extLst>
                  <a:ext uri="{FF2B5EF4-FFF2-40B4-BE49-F238E27FC236}">
                    <a16:creationId xmlns:a16="http://schemas.microsoft.com/office/drawing/2014/main" id="{00000000-0008-0000-0000-00000F03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84" name="Rectangle: Rounded Corners 783">
                <a:extLst>
                  <a:ext uri="{FF2B5EF4-FFF2-40B4-BE49-F238E27FC236}">
                    <a16:creationId xmlns:a16="http://schemas.microsoft.com/office/drawing/2014/main" id="{00000000-0008-0000-0000-00001003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85" name="TextBox 784">
                <a:extLst>
                  <a:ext uri="{FF2B5EF4-FFF2-40B4-BE49-F238E27FC236}">
                    <a16:creationId xmlns:a16="http://schemas.microsoft.com/office/drawing/2014/main" id="{00000000-0008-0000-0000-00001103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786" name="TextBox 785">
                <a:extLst>
                  <a:ext uri="{FF2B5EF4-FFF2-40B4-BE49-F238E27FC236}">
                    <a16:creationId xmlns:a16="http://schemas.microsoft.com/office/drawing/2014/main" id="{00000000-0008-0000-0000-000012030000}"/>
                  </a:ext>
                </a:extLst>
              </xdr:cNvPr>
              <xdr:cNvSpPr txBox="1"/>
            </xdr:nvSpPr>
            <xdr:spPr>
              <a:xfrm>
                <a:off x="5296264" y="1857557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787" name="TextBox 786">
                <a:extLst>
                  <a:ext uri="{FF2B5EF4-FFF2-40B4-BE49-F238E27FC236}">
                    <a16:creationId xmlns:a16="http://schemas.microsoft.com/office/drawing/2014/main" id="{00000000-0008-0000-0000-000013030000}"/>
                  </a:ext>
                </a:extLst>
              </xdr:cNvPr>
              <xdr:cNvSpPr txBox="1"/>
            </xdr:nvSpPr>
            <xdr:spPr>
              <a:xfrm>
                <a:off x="4882350" y="17437236"/>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788" name="Rectangle: Rounded Corners 787">
                <a:extLst>
                  <a:ext uri="{FF2B5EF4-FFF2-40B4-BE49-F238E27FC236}">
                    <a16:creationId xmlns:a16="http://schemas.microsoft.com/office/drawing/2014/main" id="{00000000-0008-0000-0000-00001403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773" name="Group 772">
              <a:extLst>
                <a:ext uri="{FF2B5EF4-FFF2-40B4-BE49-F238E27FC236}">
                  <a16:creationId xmlns:a16="http://schemas.microsoft.com/office/drawing/2014/main" id="{00000000-0008-0000-0000-000005030000}"/>
                </a:ext>
              </a:extLst>
            </xdr:cNvPr>
            <xdr:cNvGrpSpPr/>
          </xdr:nvGrpSpPr>
          <xdr:grpSpPr>
            <a:xfrm>
              <a:off x="483811" y="7299688"/>
              <a:ext cx="5557778" cy="914201"/>
              <a:chOff x="483811" y="7299688"/>
              <a:chExt cx="5557778" cy="914201"/>
            </a:xfrm>
          </xdr:grpSpPr>
          <xdr:sp macro="" textlink="">
            <xdr:nvSpPr>
              <xdr:cNvPr id="774" name="TextBox 773">
                <a:extLst>
                  <a:ext uri="{FF2B5EF4-FFF2-40B4-BE49-F238E27FC236}">
                    <a16:creationId xmlns:a16="http://schemas.microsoft.com/office/drawing/2014/main" id="{00000000-0008-0000-0000-00000603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775" name="TextBox 774">
                <a:extLst>
                  <a:ext uri="{FF2B5EF4-FFF2-40B4-BE49-F238E27FC236}">
                    <a16:creationId xmlns:a16="http://schemas.microsoft.com/office/drawing/2014/main" id="{00000000-0008-0000-0000-00000703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776" name="TextBox 775">
                <a:extLst>
                  <a:ext uri="{FF2B5EF4-FFF2-40B4-BE49-F238E27FC236}">
                    <a16:creationId xmlns:a16="http://schemas.microsoft.com/office/drawing/2014/main" id="{00000000-0008-0000-0000-00000803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777" name="TextBox 776">
                <a:extLst>
                  <a:ext uri="{FF2B5EF4-FFF2-40B4-BE49-F238E27FC236}">
                    <a16:creationId xmlns:a16="http://schemas.microsoft.com/office/drawing/2014/main" id="{00000000-0008-0000-0000-00000903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778" name="TextBox 777">
                <a:extLst>
                  <a:ext uri="{FF2B5EF4-FFF2-40B4-BE49-F238E27FC236}">
                    <a16:creationId xmlns:a16="http://schemas.microsoft.com/office/drawing/2014/main" id="{00000000-0008-0000-0000-00000A03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779" name="TextBox 778">
                <a:extLst>
                  <a:ext uri="{FF2B5EF4-FFF2-40B4-BE49-F238E27FC236}">
                    <a16:creationId xmlns:a16="http://schemas.microsoft.com/office/drawing/2014/main" id="{00000000-0008-0000-0000-00000B03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780" name="TextBox 779">
                <a:extLst>
                  <a:ext uri="{FF2B5EF4-FFF2-40B4-BE49-F238E27FC236}">
                    <a16:creationId xmlns:a16="http://schemas.microsoft.com/office/drawing/2014/main" id="{00000000-0008-0000-0000-00000C03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grpSp>
        <xdr:nvGrpSpPr>
          <xdr:cNvPr id="741" name="Group 740">
            <a:extLst>
              <a:ext uri="{FF2B5EF4-FFF2-40B4-BE49-F238E27FC236}">
                <a16:creationId xmlns:a16="http://schemas.microsoft.com/office/drawing/2014/main" id="{00000000-0008-0000-0000-0000E5020000}"/>
              </a:ext>
            </a:extLst>
          </xdr:cNvPr>
          <xdr:cNvGrpSpPr/>
        </xdr:nvGrpSpPr>
        <xdr:grpSpPr>
          <a:xfrm>
            <a:off x="2137226" y="18998155"/>
            <a:ext cx="4234114" cy="617933"/>
            <a:chOff x="9906558" y="15967955"/>
            <a:chExt cx="4177023" cy="603806"/>
          </a:xfrm>
        </xdr:grpSpPr>
        <xdr:grpSp>
          <xdr:nvGrpSpPr>
            <xdr:cNvPr id="763" name="Group 762">
              <a:extLst>
                <a:ext uri="{FF2B5EF4-FFF2-40B4-BE49-F238E27FC236}">
                  <a16:creationId xmlns:a16="http://schemas.microsoft.com/office/drawing/2014/main" id="{00000000-0008-0000-0000-0000FB020000}"/>
                </a:ext>
              </a:extLst>
            </xdr:cNvPr>
            <xdr:cNvGrpSpPr/>
          </xdr:nvGrpSpPr>
          <xdr:grpSpPr>
            <a:xfrm>
              <a:off x="9906558" y="15967955"/>
              <a:ext cx="4177023" cy="603806"/>
              <a:chOff x="9772834" y="16020484"/>
              <a:chExt cx="4173657" cy="595815"/>
            </a:xfrm>
          </xdr:grpSpPr>
          <xdr:sp macro="" textlink="">
            <xdr:nvSpPr>
              <xdr:cNvPr id="765" name="Rectangle: Rounded Corners 764">
                <a:extLst>
                  <a:ext uri="{FF2B5EF4-FFF2-40B4-BE49-F238E27FC236}">
                    <a16:creationId xmlns:a16="http://schemas.microsoft.com/office/drawing/2014/main" id="{00000000-0008-0000-0000-0000FD02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66" name="Rectangle: Rounded Corners 765">
                <a:extLst>
                  <a:ext uri="{FF2B5EF4-FFF2-40B4-BE49-F238E27FC236}">
                    <a16:creationId xmlns:a16="http://schemas.microsoft.com/office/drawing/2014/main" id="{00000000-0008-0000-0000-0000FE02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67" name="Straight Connector 766">
                <a:extLst>
                  <a:ext uri="{FF2B5EF4-FFF2-40B4-BE49-F238E27FC236}">
                    <a16:creationId xmlns:a16="http://schemas.microsoft.com/office/drawing/2014/main" id="{00000000-0008-0000-0000-0000FF020000}"/>
                  </a:ext>
                </a:extLst>
              </xdr:cNvPr>
              <xdr:cNvCxnSpPr/>
            </xdr:nvCxnSpPr>
            <xdr:spPr>
              <a:xfrm>
                <a:off x="10466812" y="16090026"/>
                <a:ext cx="1790" cy="52627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68" name="Straight Connector 767">
                <a:extLst>
                  <a:ext uri="{FF2B5EF4-FFF2-40B4-BE49-F238E27FC236}">
                    <a16:creationId xmlns:a16="http://schemas.microsoft.com/office/drawing/2014/main" id="{00000000-0008-0000-0000-000000030000}"/>
                  </a:ext>
                </a:extLst>
              </xdr:cNvPr>
              <xdr:cNvCxnSpPr/>
            </xdr:nvCxnSpPr>
            <xdr:spPr>
              <a:xfrm>
                <a:off x="11098469" y="16073671"/>
                <a:ext cx="7669" cy="51995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sp macro="" textlink="">
            <xdr:nvSpPr>
              <xdr:cNvPr id="769" name="TextBox 768">
                <a:extLst>
                  <a:ext uri="{FF2B5EF4-FFF2-40B4-BE49-F238E27FC236}">
                    <a16:creationId xmlns:a16="http://schemas.microsoft.com/office/drawing/2014/main" id="{00000000-0008-0000-0000-00000103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770" name="TextBox 769">
                <a:extLst>
                  <a:ext uri="{FF2B5EF4-FFF2-40B4-BE49-F238E27FC236}">
                    <a16:creationId xmlns:a16="http://schemas.microsoft.com/office/drawing/2014/main" id="{00000000-0008-0000-0000-00000203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771" name="TextBox 770">
                <a:extLst>
                  <a:ext uri="{FF2B5EF4-FFF2-40B4-BE49-F238E27FC236}">
                    <a16:creationId xmlns:a16="http://schemas.microsoft.com/office/drawing/2014/main" id="{00000000-0008-0000-0000-00000303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764" name="TextBox 763">
              <a:extLst>
                <a:ext uri="{FF2B5EF4-FFF2-40B4-BE49-F238E27FC236}">
                  <a16:creationId xmlns:a16="http://schemas.microsoft.com/office/drawing/2014/main" id="{00000000-0008-0000-0000-0000FC020000}"/>
                </a:ext>
              </a:extLst>
            </xdr:cNvPr>
            <xdr:cNvSpPr txBox="1"/>
          </xdr:nvSpPr>
          <xdr:spPr>
            <a:xfrm>
              <a:off x="13291834" y="16247862"/>
              <a:ext cx="662214" cy="288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grpSp>
      <xdr:sp macro="" textlink="">
        <xdr:nvSpPr>
          <xdr:cNvPr id="742" name="TextBox 741">
            <a:extLst>
              <a:ext uri="{FF2B5EF4-FFF2-40B4-BE49-F238E27FC236}">
                <a16:creationId xmlns:a16="http://schemas.microsoft.com/office/drawing/2014/main" id="{00000000-0008-0000-0000-0000E6020000}"/>
              </a:ext>
            </a:extLst>
          </xdr:cNvPr>
          <xdr:cNvSpPr txBox="1"/>
        </xdr:nvSpPr>
        <xdr:spPr>
          <a:xfrm>
            <a:off x="308920" y="19030459"/>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VIII</a:t>
            </a:r>
            <a:endParaRPr lang="en-IN" sz="3100" b="1" i="0" spc="200" baseline="0">
              <a:solidFill>
                <a:schemeClr val="bg1"/>
              </a:solidFill>
              <a:latin typeface="Calisto MT" panose="02040603050505030304" pitchFamily="18" charset="0"/>
            </a:endParaRPr>
          </a:p>
        </xdr:txBody>
      </xdr:sp>
      <xdr:sp macro="" textlink="FinalAnalysis!C70">
        <xdr:nvSpPr>
          <xdr:cNvPr id="743" name="TextBox 742">
            <a:extLst>
              <a:ext uri="{FF2B5EF4-FFF2-40B4-BE49-F238E27FC236}">
                <a16:creationId xmlns:a16="http://schemas.microsoft.com/office/drawing/2014/main" id="{00000000-0008-0000-0000-0000E7020000}"/>
              </a:ext>
            </a:extLst>
          </xdr:cNvPr>
          <xdr:cNvSpPr txBox="1"/>
        </xdr:nvSpPr>
        <xdr:spPr>
          <a:xfrm>
            <a:off x="1849092" y="22200370"/>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7618826C-5E9E-441C-A91E-11E517628745}" type="TxLink">
              <a:rPr lang="en-US" sz="1200" b="1" i="0" u="none" strike="noStrike">
                <a:solidFill>
                  <a:srgbClr val="002060"/>
                </a:solidFill>
                <a:latin typeface="Comic Sans MS" panose="030F0702030302020204" pitchFamily="66" charset="0"/>
                <a:ea typeface="Calibri"/>
                <a:cs typeface="Calibri"/>
              </a:rPr>
              <a:pPr marL="0" indent="0" algn="r"/>
              <a:t>₹ 1,12,000.00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70">
        <xdr:nvSpPr>
          <xdr:cNvPr id="744" name="TextBox 743">
            <a:extLst>
              <a:ext uri="{FF2B5EF4-FFF2-40B4-BE49-F238E27FC236}">
                <a16:creationId xmlns:a16="http://schemas.microsoft.com/office/drawing/2014/main" id="{00000000-0008-0000-0000-0000E8020000}"/>
              </a:ext>
            </a:extLst>
          </xdr:cNvPr>
          <xdr:cNvSpPr txBox="1"/>
        </xdr:nvSpPr>
        <xdr:spPr>
          <a:xfrm>
            <a:off x="3018345" y="22244061"/>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95BF1396-E96F-47E5-A2D0-B7DDD5925DF4}" type="TxLink">
              <a:rPr lang="en-US" sz="1200" b="1" i="0" u="none" strike="noStrike">
                <a:solidFill>
                  <a:srgbClr val="002060"/>
                </a:solidFill>
                <a:latin typeface="Comic Sans MS" panose="030F0702030302020204" pitchFamily="66" charset="0"/>
                <a:ea typeface="Calibri"/>
                <a:cs typeface="Calibri"/>
              </a:rPr>
              <a:pPr marL="0" indent="0" algn="r"/>
              <a:t>₹ 11,500.00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70">
        <xdr:nvSpPr>
          <xdr:cNvPr id="745" name="TextBox 744">
            <a:extLst>
              <a:ext uri="{FF2B5EF4-FFF2-40B4-BE49-F238E27FC236}">
                <a16:creationId xmlns:a16="http://schemas.microsoft.com/office/drawing/2014/main" id="{00000000-0008-0000-0000-0000E9020000}"/>
              </a:ext>
            </a:extLst>
          </xdr:cNvPr>
          <xdr:cNvSpPr txBox="1"/>
        </xdr:nvSpPr>
        <xdr:spPr>
          <a:xfrm>
            <a:off x="4112667" y="2225626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0020F6EA-E16B-4BC4-9CF2-C1C1273A47B1}" type="TxLink">
              <a:rPr lang="en-US" sz="1200" b="1" i="0" u="none" strike="noStrike">
                <a:solidFill>
                  <a:srgbClr val="002060"/>
                </a:solidFill>
                <a:latin typeface="Comic Sans MS" panose="030F0702030302020204" pitchFamily="66" charset="0"/>
                <a:ea typeface="Calibri"/>
                <a:cs typeface="Calibri"/>
              </a:rPr>
              <a:pPr marL="0" indent="0" algn="r"/>
              <a:t>₹ 6,500.00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70">
        <xdr:nvSpPr>
          <xdr:cNvPr id="746" name="TextBox 745">
            <a:extLst>
              <a:ext uri="{FF2B5EF4-FFF2-40B4-BE49-F238E27FC236}">
                <a16:creationId xmlns:a16="http://schemas.microsoft.com/office/drawing/2014/main" id="{00000000-0008-0000-0000-0000EA020000}"/>
              </a:ext>
            </a:extLst>
          </xdr:cNvPr>
          <xdr:cNvSpPr txBox="1"/>
        </xdr:nvSpPr>
        <xdr:spPr>
          <a:xfrm>
            <a:off x="5210209" y="2225626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10AE7DB-F715-49E9-8DC1-56C11BB3EFA9}" type="TxLink">
              <a:rPr lang="en-US" sz="1200" b="1" i="0" u="none" strike="noStrike">
                <a:solidFill>
                  <a:srgbClr val="002060"/>
                </a:solidFill>
                <a:latin typeface="Comic Sans MS" panose="030F0702030302020204" pitchFamily="66" charset="0"/>
                <a:ea typeface="Calibri"/>
                <a:cs typeface="Calibri"/>
              </a:rPr>
              <a:pPr marL="0" indent="0" algn="r"/>
              <a:t>₹ 28,600.00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70">
        <xdr:nvSpPr>
          <xdr:cNvPr id="747" name="TextBox 746">
            <a:extLst>
              <a:ext uri="{FF2B5EF4-FFF2-40B4-BE49-F238E27FC236}">
                <a16:creationId xmlns:a16="http://schemas.microsoft.com/office/drawing/2014/main" id="{00000000-0008-0000-0000-0000EB020000}"/>
              </a:ext>
            </a:extLst>
          </xdr:cNvPr>
          <xdr:cNvSpPr txBox="1"/>
        </xdr:nvSpPr>
        <xdr:spPr>
          <a:xfrm>
            <a:off x="1849092" y="2247635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11F548D4-154D-4B6F-870E-7CEE91236160}" type="TxLink">
              <a:rPr lang="en-US" sz="1200" b="1" i="0" u="none" strike="noStrike">
                <a:solidFill>
                  <a:srgbClr val="002060"/>
                </a:solidFill>
                <a:latin typeface="Comic Sans MS" panose="030F0702030302020204" pitchFamily="66" charset="0"/>
                <a:ea typeface="Calibri"/>
                <a:cs typeface="Calibri"/>
              </a:rPr>
              <a:pPr marL="0" indent="0" algn="r"/>
              <a:t>-₹ 32,000.00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70">
        <xdr:nvSpPr>
          <xdr:cNvPr id="748" name="TextBox 747">
            <a:extLst>
              <a:ext uri="{FF2B5EF4-FFF2-40B4-BE49-F238E27FC236}">
                <a16:creationId xmlns:a16="http://schemas.microsoft.com/office/drawing/2014/main" id="{00000000-0008-0000-0000-0000EC020000}"/>
              </a:ext>
            </a:extLst>
          </xdr:cNvPr>
          <xdr:cNvSpPr txBox="1"/>
        </xdr:nvSpPr>
        <xdr:spPr>
          <a:xfrm>
            <a:off x="3008264" y="2251791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A37B7CC-EC63-4ED7-98F9-68BCDAB6BC89}" type="TxLink">
              <a:rPr lang="en-US" sz="1200" b="1" i="0" u="none" strike="noStrike">
                <a:solidFill>
                  <a:srgbClr val="002060"/>
                </a:solidFill>
                <a:latin typeface="Comic Sans MS" panose="030F0702030302020204" pitchFamily="66" charset="0"/>
                <a:ea typeface="Calibri"/>
                <a:cs typeface="Calibri"/>
              </a:rPr>
              <a:pPr marL="0" indent="0" algn="r"/>
              <a:t>₹ 8,500.00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70">
        <xdr:nvSpPr>
          <xdr:cNvPr id="749" name="TextBox 748">
            <a:extLst>
              <a:ext uri="{FF2B5EF4-FFF2-40B4-BE49-F238E27FC236}">
                <a16:creationId xmlns:a16="http://schemas.microsoft.com/office/drawing/2014/main" id="{00000000-0008-0000-0000-0000ED020000}"/>
              </a:ext>
            </a:extLst>
          </xdr:cNvPr>
          <xdr:cNvSpPr txBox="1"/>
        </xdr:nvSpPr>
        <xdr:spPr>
          <a:xfrm>
            <a:off x="4112667" y="2253011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AD057497-ECCC-4E2F-B7F8-D2E53F539A90}" type="TxLink">
              <a:rPr lang="en-US" sz="1200" b="1" i="0" u="none" strike="noStrike">
                <a:solidFill>
                  <a:srgbClr val="002060"/>
                </a:solidFill>
                <a:latin typeface="Comic Sans MS" panose="030F0702030302020204" pitchFamily="66" charset="0"/>
                <a:ea typeface="Calibri"/>
                <a:cs typeface="Calibri"/>
              </a:rPr>
              <a:pPr marL="0" indent="0" algn="r"/>
              <a:t>₹ 2,500.00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70">
        <xdr:nvSpPr>
          <xdr:cNvPr id="750" name="TextBox 749">
            <a:extLst>
              <a:ext uri="{FF2B5EF4-FFF2-40B4-BE49-F238E27FC236}">
                <a16:creationId xmlns:a16="http://schemas.microsoft.com/office/drawing/2014/main" id="{00000000-0008-0000-0000-0000EE020000}"/>
              </a:ext>
            </a:extLst>
          </xdr:cNvPr>
          <xdr:cNvSpPr txBox="1"/>
        </xdr:nvSpPr>
        <xdr:spPr>
          <a:xfrm>
            <a:off x="5200129" y="2253011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760FC40C-A262-4801-8435-6DA0BBD3FF71}" type="TxLink">
              <a:rPr lang="en-US" sz="1200" b="1" i="0" u="none" strike="noStrike">
                <a:solidFill>
                  <a:srgbClr val="002060"/>
                </a:solidFill>
                <a:latin typeface="Comic Sans MS" panose="030F0702030302020204" pitchFamily="66" charset="0"/>
                <a:ea typeface="Calibri"/>
                <a:cs typeface="Calibri"/>
              </a:rPr>
              <a:pPr marL="0" indent="0" algn="r"/>
              <a:t>₹ 1,16,400.00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C30">
        <xdr:nvSpPr>
          <xdr:cNvPr id="751" name="TextBox 750">
            <a:extLst>
              <a:ext uri="{FF2B5EF4-FFF2-40B4-BE49-F238E27FC236}">
                <a16:creationId xmlns:a16="http://schemas.microsoft.com/office/drawing/2014/main" id="{00000000-0008-0000-0000-0000EF020000}"/>
              </a:ext>
            </a:extLst>
          </xdr:cNvPr>
          <xdr:cNvSpPr txBox="1"/>
        </xdr:nvSpPr>
        <xdr:spPr>
          <a:xfrm>
            <a:off x="4447965" y="19143900"/>
            <a:ext cx="674110" cy="2634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A2F4083C-0392-492F-9683-54CBDDAAB6ED}"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FinalAnalysis!J43">
        <xdr:nvSpPr>
          <xdr:cNvPr id="752" name="TextBox 751">
            <a:extLst>
              <a:ext uri="{FF2B5EF4-FFF2-40B4-BE49-F238E27FC236}">
                <a16:creationId xmlns:a16="http://schemas.microsoft.com/office/drawing/2014/main" id="{00000000-0008-0000-0000-0000F0020000}"/>
              </a:ext>
            </a:extLst>
          </xdr:cNvPr>
          <xdr:cNvSpPr txBox="1"/>
        </xdr:nvSpPr>
        <xdr:spPr>
          <a:xfrm>
            <a:off x="2376477" y="19214348"/>
            <a:ext cx="326494" cy="259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0AE5C550-DBB2-492C-8E26-A99403BADAE5}" type="TxLink">
              <a:rPr lang="en-US" sz="1600" b="1" i="0" u="none" strike="noStrike">
                <a:solidFill>
                  <a:srgbClr val="002060"/>
                </a:solidFill>
                <a:latin typeface="Comic Sans MS" panose="030F0702030302020204" pitchFamily="66" charset="0"/>
                <a:ea typeface="+mn-ea"/>
                <a:cs typeface="+mn-cs"/>
              </a:rPr>
              <a:pPr marL="0" indent="0" algn="r"/>
              <a:t>9</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43">
        <xdr:nvSpPr>
          <xdr:cNvPr id="753" name="TextBox 752">
            <a:extLst>
              <a:ext uri="{FF2B5EF4-FFF2-40B4-BE49-F238E27FC236}">
                <a16:creationId xmlns:a16="http://schemas.microsoft.com/office/drawing/2014/main" id="{00000000-0008-0000-0000-0000F1020000}"/>
              </a:ext>
            </a:extLst>
          </xdr:cNvPr>
          <xdr:cNvSpPr txBox="1"/>
        </xdr:nvSpPr>
        <xdr:spPr>
          <a:xfrm>
            <a:off x="2962089" y="19208565"/>
            <a:ext cx="330021" cy="277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EB974058-D0AD-4852-AB44-C53A5CA62CF2}" type="TxLink">
              <a:rPr lang="en-US" sz="1200" b="1" i="0" u="none" strike="noStrike">
                <a:solidFill>
                  <a:srgbClr val="002060"/>
                </a:solidFill>
                <a:latin typeface="Comic Sans MS" panose="030F0702030302020204" pitchFamily="66" charset="0"/>
                <a:ea typeface="+mn-ea"/>
                <a:cs typeface="+mn-cs"/>
              </a:rPr>
              <a:pPr marL="0" indent="0" algn="r"/>
              <a:t>6</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43">
        <xdr:nvSpPr>
          <xdr:cNvPr id="754" name="TextBox 753">
            <a:extLst>
              <a:ext uri="{FF2B5EF4-FFF2-40B4-BE49-F238E27FC236}">
                <a16:creationId xmlns:a16="http://schemas.microsoft.com/office/drawing/2014/main" id="{00000000-0008-0000-0000-0000F2020000}"/>
              </a:ext>
            </a:extLst>
          </xdr:cNvPr>
          <xdr:cNvSpPr txBox="1"/>
        </xdr:nvSpPr>
        <xdr:spPr>
          <a:xfrm>
            <a:off x="3540899" y="19214348"/>
            <a:ext cx="315912" cy="259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7FFAE7EF-6A73-4EEA-99B9-D2A8FFED8436}" type="TxLink">
              <a:rPr lang="en-US" sz="1200" b="1" i="0" u="none" strike="noStrike">
                <a:solidFill>
                  <a:srgbClr val="002060"/>
                </a:solidFill>
                <a:latin typeface="Comic Sans MS" panose="030F0702030302020204" pitchFamily="66" charset="0"/>
                <a:ea typeface="+mn-ea"/>
                <a:cs typeface="+mn-cs"/>
              </a:rPr>
              <a:pPr marL="0" indent="0" algn="r"/>
              <a:t>3</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43">
        <xdr:nvSpPr>
          <xdr:cNvPr id="755" name="TextBox 754">
            <a:extLst>
              <a:ext uri="{FF2B5EF4-FFF2-40B4-BE49-F238E27FC236}">
                <a16:creationId xmlns:a16="http://schemas.microsoft.com/office/drawing/2014/main" id="{00000000-0008-0000-0000-0000F3020000}"/>
              </a:ext>
            </a:extLst>
          </xdr:cNvPr>
          <xdr:cNvSpPr txBox="1"/>
        </xdr:nvSpPr>
        <xdr:spPr>
          <a:xfrm>
            <a:off x="1306929" y="20172924"/>
            <a:ext cx="737525" cy="257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1F03A885-69CB-469D-957C-ADF5FC8C993C}" type="TxLink">
              <a:rPr lang="en-US" sz="1200" b="1" i="0" u="none" strike="noStrike">
                <a:solidFill>
                  <a:srgbClr val="002060"/>
                </a:solidFill>
                <a:latin typeface="Comic Sans MS" panose="030F0702030302020204" pitchFamily="66" charset="0"/>
                <a:ea typeface="Calibri"/>
                <a:cs typeface="Calibri"/>
              </a:rPr>
              <a:pPr marL="0" indent="0" algn="r"/>
              <a:t>₹2,61,000.00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43">
        <xdr:nvSpPr>
          <xdr:cNvPr id="756" name="TextBox 755">
            <a:extLst>
              <a:ext uri="{FF2B5EF4-FFF2-40B4-BE49-F238E27FC236}">
                <a16:creationId xmlns:a16="http://schemas.microsoft.com/office/drawing/2014/main" id="{00000000-0008-0000-0000-0000F4020000}"/>
              </a:ext>
            </a:extLst>
          </xdr:cNvPr>
          <xdr:cNvSpPr txBox="1"/>
        </xdr:nvSpPr>
        <xdr:spPr>
          <a:xfrm>
            <a:off x="1293699" y="20699013"/>
            <a:ext cx="737525" cy="4283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D4F0DBAE-86D8-49D3-AB66-1342AEBF980D}" type="TxLink">
              <a:rPr lang="en-US" sz="1200" b="1" i="0" u="none" strike="noStrike">
                <a:solidFill>
                  <a:srgbClr val="002060"/>
                </a:solidFill>
                <a:latin typeface="Comic Sans MS" panose="030F0702030302020204" pitchFamily="66" charset="0"/>
                <a:ea typeface="Calibri"/>
                <a:cs typeface="Calibri"/>
              </a:rPr>
              <a:pPr marL="0" indent="0" algn="r"/>
              <a:t>₹1,58,600.00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43">
        <xdr:nvSpPr>
          <xdr:cNvPr id="757" name="TextBox 756">
            <a:extLst>
              <a:ext uri="{FF2B5EF4-FFF2-40B4-BE49-F238E27FC236}">
                <a16:creationId xmlns:a16="http://schemas.microsoft.com/office/drawing/2014/main" id="{00000000-0008-0000-0000-0000F5020000}"/>
              </a:ext>
            </a:extLst>
          </xdr:cNvPr>
          <xdr:cNvSpPr txBox="1"/>
        </xdr:nvSpPr>
        <xdr:spPr>
          <a:xfrm>
            <a:off x="1373074" y="21308904"/>
            <a:ext cx="737525" cy="372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C197E30-77FC-4869-B2CB-EEFB4280DB6E}" type="TxLink">
              <a:rPr lang="en-US" sz="1200" b="1" i="0" u="none" strike="noStrike">
                <a:solidFill>
                  <a:srgbClr val="002060"/>
                </a:solidFill>
                <a:latin typeface="Comic Sans MS" panose="030F0702030302020204" pitchFamily="66" charset="0"/>
                <a:ea typeface="Calibri"/>
                <a:cs typeface="Calibri"/>
              </a:rPr>
              <a:pPr marL="0" indent="0" algn="r"/>
              <a:t>₹1,02,400.00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758" name="Group 757">
            <a:extLst>
              <a:ext uri="{FF2B5EF4-FFF2-40B4-BE49-F238E27FC236}">
                <a16:creationId xmlns:a16="http://schemas.microsoft.com/office/drawing/2014/main" id="{00000000-0008-0000-0000-0000F6020000}"/>
              </a:ext>
            </a:extLst>
          </xdr:cNvPr>
          <xdr:cNvGrpSpPr/>
        </xdr:nvGrpSpPr>
        <xdr:grpSpPr>
          <a:xfrm>
            <a:off x="1703460" y="21816811"/>
            <a:ext cx="3500137" cy="1215758"/>
            <a:chOff x="1827617" y="7317817"/>
            <a:chExt cx="3490225" cy="1226979"/>
          </a:xfrm>
        </xdr:grpSpPr>
        <xdr:cxnSp macro="">
          <xdr:nvCxnSpPr>
            <xdr:cNvPr id="759" name="Straight Connector 758">
              <a:extLst>
                <a:ext uri="{FF2B5EF4-FFF2-40B4-BE49-F238E27FC236}">
                  <a16:creationId xmlns:a16="http://schemas.microsoft.com/office/drawing/2014/main" id="{00000000-0008-0000-0000-0000F7020000}"/>
                </a:ext>
              </a:extLst>
            </xdr:cNvPr>
            <xdr:cNvCxnSpPr/>
          </xdr:nvCxnSpPr>
          <xdr:spPr>
            <a:xfrm>
              <a:off x="3116601" y="731781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60" name="Straight Connector 759">
              <a:extLst>
                <a:ext uri="{FF2B5EF4-FFF2-40B4-BE49-F238E27FC236}">
                  <a16:creationId xmlns:a16="http://schemas.microsoft.com/office/drawing/2014/main" id="{00000000-0008-0000-0000-0000F802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61" name="Straight Connector 760">
              <a:extLst>
                <a:ext uri="{FF2B5EF4-FFF2-40B4-BE49-F238E27FC236}">
                  <a16:creationId xmlns:a16="http://schemas.microsoft.com/office/drawing/2014/main" id="{00000000-0008-0000-0000-0000F9020000}"/>
                </a:ext>
              </a:extLst>
            </xdr:cNvPr>
            <xdr:cNvCxnSpPr/>
          </xdr:nvCxnSpPr>
          <xdr:spPr>
            <a:xfrm>
              <a:off x="5313025" y="7438129"/>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762" name="Straight Connector 761">
              <a:extLst>
                <a:ext uri="{FF2B5EF4-FFF2-40B4-BE49-F238E27FC236}">
                  <a16:creationId xmlns:a16="http://schemas.microsoft.com/office/drawing/2014/main" id="{00000000-0008-0000-0000-0000FA020000}"/>
                </a:ext>
              </a:extLst>
            </xdr:cNvPr>
            <xdr:cNvCxnSpPr/>
          </xdr:nvCxnSpPr>
          <xdr:spPr>
            <a:xfrm>
              <a:off x="1827617" y="7321275"/>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271506</xdr:colOff>
      <xdr:row>132</xdr:row>
      <xdr:rowOff>144499</xdr:rowOff>
    </xdr:from>
    <xdr:to>
      <xdr:col>9</xdr:col>
      <xdr:colOff>23239</xdr:colOff>
      <xdr:row>157</xdr:row>
      <xdr:rowOff>76268</xdr:rowOff>
    </xdr:to>
    <xdr:grpSp>
      <xdr:nvGrpSpPr>
        <xdr:cNvPr id="796" name="Group 795">
          <a:extLst>
            <a:ext uri="{FF2B5EF4-FFF2-40B4-BE49-F238E27FC236}">
              <a16:creationId xmlns:a16="http://schemas.microsoft.com/office/drawing/2014/main" id="{00000000-0008-0000-0000-00001C030000}"/>
            </a:ext>
          </a:extLst>
        </xdr:cNvPr>
        <xdr:cNvGrpSpPr/>
      </xdr:nvGrpSpPr>
      <xdr:grpSpPr>
        <a:xfrm>
          <a:off x="271506" y="24778120"/>
          <a:ext cx="6068888" cy="4584786"/>
          <a:chOff x="339032" y="24778120"/>
          <a:chExt cx="6068888" cy="4584786"/>
        </a:xfrm>
      </xdr:grpSpPr>
      <xdr:grpSp>
        <xdr:nvGrpSpPr>
          <xdr:cNvPr id="797" name="Group 796">
            <a:extLst>
              <a:ext uri="{FF2B5EF4-FFF2-40B4-BE49-F238E27FC236}">
                <a16:creationId xmlns:a16="http://schemas.microsoft.com/office/drawing/2014/main" id="{00000000-0008-0000-0000-00001D030000}"/>
              </a:ext>
            </a:extLst>
          </xdr:cNvPr>
          <xdr:cNvGrpSpPr/>
        </xdr:nvGrpSpPr>
        <xdr:grpSpPr>
          <a:xfrm>
            <a:off x="339032" y="24778120"/>
            <a:ext cx="6068888" cy="4584786"/>
            <a:chOff x="13652582" y="18689209"/>
            <a:chExt cx="6144522" cy="4387346"/>
          </a:xfrm>
        </xdr:grpSpPr>
        <xdr:grpSp>
          <xdr:nvGrpSpPr>
            <xdr:cNvPr id="803" name="Group 802">
              <a:extLst>
                <a:ext uri="{FF2B5EF4-FFF2-40B4-BE49-F238E27FC236}">
                  <a16:creationId xmlns:a16="http://schemas.microsoft.com/office/drawing/2014/main" id="{00000000-0008-0000-0000-000023030000}"/>
                </a:ext>
              </a:extLst>
            </xdr:cNvPr>
            <xdr:cNvGrpSpPr/>
          </xdr:nvGrpSpPr>
          <xdr:grpSpPr>
            <a:xfrm>
              <a:off x="13661843" y="18689209"/>
              <a:ext cx="6135261" cy="4387346"/>
              <a:chOff x="344766" y="4265801"/>
              <a:chExt cx="6055631" cy="4281500"/>
            </a:xfrm>
          </xdr:grpSpPr>
          <xdr:grpSp>
            <xdr:nvGrpSpPr>
              <xdr:cNvPr id="830" name="Group 829">
                <a:extLst>
                  <a:ext uri="{FF2B5EF4-FFF2-40B4-BE49-F238E27FC236}">
                    <a16:creationId xmlns:a16="http://schemas.microsoft.com/office/drawing/2014/main" id="{00000000-0008-0000-0000-00003E030000}"/>
                  </a:ext>
                </a:extLst>
              </xdr:cNvPr>
              <xdr:cNvGrpSpPr>
                <a:grpSpLocks/>
              </xdr:cNvGrpSpPr>
            </xdr:nvGrpSpPr>
            <xdr:grpSpPr>
              <a:xfrm>
                <a:off x="344766" y="4265801"/>
                <a:ext cx="6055631" cy="4281500"/>
                <a:chOff x="4615628" y="16240125"/>
                <a:chExt cx="5388081" cy="4325195"/>
              </a:xfrm>
            </xdr:grpSpPr>
            <xdr:sp macro="" textlink="">
              <xdr:nvSpPr>
                <xdr:cNvPr id="839" name="Rectangle 838">
                  <a:extLst>
                    <a:ext uri="{FF2B5EF4-FFF2-40B4-BE49-F238E27FC236}">
                      <a16:creationId xmlns:a16="http://schemas.microsoft.com/office/drawing/2014/main" id="{00000000-0008-0000-0000-00004703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40" name="Group 839">
                  <a:extLst>
                    <a:ext uri="{FF2B5EF4-FFF2-40B4-BE49-F238E27FC236}">
                      <a16:creationId xmlns:a16="http://schemas.microsoft.com/office/drawing/2014/main" id="{00000000-0008-0000-0000-000048030000}"/>
                    </a:ext>
                  </a:extLst>
                </xdr:cNvPr>
                <xdr:cNvGrpSpPr/>
              </xdr:nvGrpSpPr>
              <xdr:grpSpPr>
                <a:xfrm>
                  <a:off x="4615628" y="16240125"/>
                  <a:ext cx="5388081" cy="4325195"/>
                  <a:chOff x="4615628" y="16240125"/>
                  <a:chExt cx="5388081" cy="4325195"/>
                </a:xfrm>
              </xdr:grpSpPr>
              <xdr:sp macro="" textlink="">
                <xdr:nvSpPr>
                  <xdr:cNvPr id="847" name="Rectangle: Rounded Corners 846">
                    <a:extLst>
                      <a:ext uri="{FF2B5EF4-FFF2-40B4-BE49-F238E27FC236}">
                        <a16:creationId xmlns:a16="http://schemas.microsoft.com/office/drawing/2014/main" id="{00000000-0008-0000-0000-00004F03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48" name="Group 847">
                    <a:extLst>
                      <a:ext uri="{FF2B5EF4-FFF2-40B4-BE49-F238E27FC236}">
                        <a16:creationId xmlns:a16="http://schemas.microsoft.com/office/drawing/2014/main" id="{00000000-0008-0000-0000-000050030000}"/>
                      </a:ext>
                    </a:extLst>
                  </xdr:cNvPr>
                  <xdr:cNvGrpSpPr/>
                </xdr:nvGrpSpPr>
                <xdr:grpSpPr>
                  <a:xfrm>
                    <a:off x="4615628" y="16240125"/>
                    <a:ext cx="5388081" cy="4325195"/>
                    <a:chOff x="4615628" y="16240125"/>
                    <a:chExt cx="5388081" cy="4325195"/>
                  </a:xfrm>
                </xdr:grpSpPr>
                <xdr:sp macro="" textlink="">
                  <xdr:nvSpPr>
                    <xdr:cNvPr id="850" name="TextBox 849">
                      <a:extLst>
                        <a:ext uri="{FF2B5EF4-FFF2-40B4-BE49-F238E27FC236}">
                          <a16:creationId xmlns:a16="http://schemas.microsoft.com/office/drawing/2014/main" id="{00000000-0008-0000-0000-000052030000}"/>
                        </a:ext>
                      </a:extLst>
                    </xdr:cNvPr>
                    <xdr:cNvSpPr txBox="1"/>
                  </xdr:nvSpPr>
                  <xdr:spPr>
                    <a:xfrm rot="10800000">
                      <a:off x="4616920" y="19139810"/>
                      <a:ext cx="5386535" cy="1425510"/>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851" name="TextBox 850">
                      <a:extLst>
                        <a:ext uri="{FF2B5EF4-FFF2-40B4-BE49-F238E27FC236}">
                          <a16:creationId xmlns:a16="http://schemas.microsoft.com/office/drawing/2014/main" id="{00000000-0008-0000-0000-000053030000}"/>
                        </a:ext>
                      </a:extLst>
                    </xdr:cNvPr>
                    <xdr:cNvSpPr txBox="1"/>
                  </xdr:nvSpPr>
                  <xdr:spPr>
                    <a:xfrm rot="5400000">
                      <a:off x="8531448" y="18482441"/>
                      <a:ext cx="2853472" cy="87824"/>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852" name="TextBox 851">
                      <a:extLst>
                        <a:ext uri="{FF2B5EF4-FFF2-40B4-BE49-F238E27FC236}">
                          <a16:creationId xmlns:a16="http://schemas.microsoft.com/office/drawing/2014/main" id="{00000000-0008-0000-0000-000054030000}"/>
                        </a:ext>
                      </a:extLst>
                    </xdr:cNvPr>
                    <xdr:cNvSpPr txBox="1"/>
                  </xdr:nvSpPr>
                  <xdr:spPr>
                    <a:xfrm>
                      <a:off x="4615628" y="16240125"/>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853" name="Rectangle 852">
                      <a:extLst>
                        <a:ext uri="{FF2B5EF4-FFF2-40B4-BE49-F238E27FC236}">
                          <a16:creationId xmlns:a16="http://schemas.microsoft.com/office/drawing/2014/main" id="{00000000-0008-0000-0000-000055030000}"/>
                        </a:ext>
                      </a:extLst>
                    </xdr:cNvPr>
                    <xdr:cNvSpPr/>
                  </xdr:nvSpPr>
                  <xdr:spPr>
                    <a:xfrm>
                      <a:off x="4617489" y="17304469"/>
                      <a:ext cx="1552110" cy="2531057"/>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849" name="Rectangle: Rounded Corners 848">
                    <a:extLst>
                      <a:ext uri="{FF2B5EF4-FFF2-40B4-BE49-F238E27FC236}">
                        <a16:creationId xmlns:a16="http://schemas.microsoft.com/office/drawing/2014/main" id="{00000000-0008-0000-0000-00005103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841" name="Rectangle: Rounded Corners 840">
                  <a:extLst>
                    <a:ext uri="{FF2B5EF4-FFF2-40B4-BE49-F238E27FC236}">
                      <a16:creationId xmlns:a16="http://schemas.microsoft.com/office/drawing/2014/main" id="{00000000-0008-0000-0000-00004903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42" name="Rectangle: Rounded Corners 841">
                  <a:extLst>
                    <a:ext uri="{FF2B5EF4-FFF2-40B4-BE49-F238E27FC236}">
                      <a16:creationId xmlns:a16="http://schemas.microsoft.com/office/drawing/2014/main" id="{00000000-0008-0000-0000-00004A03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843" name="TextBox 842">
                  <a:extLst>
                    <a:ext uri="{FF2B5EF4-FFF2-40B4-BE49-F238E27FC236}">
                      <a16:creationId xmlns:a16="http://schemas.microsoft.com/office/drawing/2014/main" id="{00000000-0008-0000-0000-00004B03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844" name="TextBox 843">
                  <a:extLst>
                    <a:ext uri="{FF2B5EF4-FFF2-40B4-BE49-F238E27FC236}">
                      <a16:creationId xmlns:a16="http://schemas.microsoft.com/office/drawing/2014/main" id="{00000000-0008-0000-0000-00004C030000}"/>
                    </a:ext>
                  </a:extLst>
                </xdr:cNvPr>
                <xdr:cNvSpPr txBox="1"/>
              </xdr:nvSpPr>
              <xdr:spPr>
                <a:xfrm>
                  <a:off x="5296264" y="18575574"/>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845" name="TextBox 844">
                  <a:extLst>
                    <a:ext uri="{FF2B5EF4-FFF2-40B4-BE49-F238E27FC236}">
                      <a16:creationId xmlns:a16="http://schemas.microsoft.com/office/drawing/2014/main" id="{00000000-0008-0000-0000-00004D030000}"/>
                    </a:ext>
                  </a:extLst>
                </xdr:cNvPr>
                <xdr:cNvSpPr txBox="1"/>
              </xdr:nvSpPr>
              <xdr:spPr>
                <a:xfrm>
                  <a:off x="4882350" y="17437236"/>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846" name="Rectangle: Rounded Corners 845">
                  <a:extLst>
                    <a:ext uri="{FF2B5EF4-FFF2-40B4-BE49-F238E27FC236}">
                      <a16:creationId xmlns:a16="http://schemas.microsoft.com/office/drawing/2014/main" id="{00000000-0008-0000-0000-00004E03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831" name="Group 830">
                <a:extLst>
                  <a:ext uri="{FF2B5EF4-FFF2-40B4-BE49-F238E27FC236}">
                    <a16:creationId xmlns:a16="http://schemas.microsoft.com/office/drawing/2014/main" id="{00000000-0008-0000-0000-00003F030000}"/>
                  </a:ext>
                </a:extLst>
              </xdr:cNvPr>
              <xdr:cNvGrpSpPr/>
            </xdr:nvGrpSpPr>
            <xdr:grpSpPr>
              <a:xfrm>
                <a:off x="483811" y="7299688"/>
                <a:ext cx="5557778" cy="914201"/>
                <a:chOff x="483811" y="7299688"/>
                <a:chExt cx="5557778" cy="914201"/>
              </a:xfrm>
            </xdr:grpSpPr>
            <xdr:sp macro="" textlink="">
              <xdr:nvSpPr>
                <xdr:cNvPr id="832" name="TextBox 831">
                  <a:extLst>
                    <a:ext uri="{FF2B5EF4-FFF2-40B4-BE49-F238E27FC236}">
                      <a16:creationId xmlns:a16="http://schemas.microsoft.com/office/drawing/2014/main" id="{00000000-0008-0000-0000-00004003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833" name="TextBox 832">
                  <a:extLst>
                    <a:ext uri="{FF2B5EF4-FFF2-40B4-BE49-F238E27FC236}">
                      <a16:creationId xmlns:a16="http://schemas.microsoft.com/office/drawing/2014/main" id="{00000000-0008-0000-0000-00004103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834" name="TextBox 833">
                  <a:extLst>
                    <a:ext uri="{FF2B5EF4-FFF2-40B4-BE49-F238E27FC236}">
                      <a16:creationId xmlns:a16="http://schemas.microsoft.com/office/drawing/2014/main" id="{00000000-0008-0000-0000-00004203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835" name="TextBox 834">
                  <a:extLst>
                    <a:ext uri="{FF2B5EF4-FFF2-40B4-BE49-F238E27FC236}">
                      <a16:creationId xmlns:a16="http://schemas.microsoft.com/office/drawing/2014/main" id="{00000000-0008-0000-0000-00004303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836" name="TextBox 835">
                  <a:extLst>
                    <a:ext uri="{FF2B5EF4-FFF2-40B4-BE49-F238E27FC236}">
                      <a16:creationId xmlns:a16="http://schemas.microsoft.com/office/drawing/2014/main" id="{00000000-0008-0000-0000-00004403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837" name="TextBox 836">
                  <a:extLst>
                    <a:ext uri="{FF2B5EF4-FFF2-40B4-BE49-F238E27FC236}">
                      <a16:creationId xmlns:a16="http://schemas.microsoft.com/office/drawing/2014/main" id="{00000000-0008-0000-0000-00004503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838" name="TextBox 837">
                  <a:extLst>
                    <a:ext uri="{FF2B5EF4-FFF2-40B4-BE49-F238E27FC236}">
                      <a16:creationId xmlns:a16="http://schemas.microsoft.com/office/drawing/2014/main" id="{00000000-0008-0000-0000-00004603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grpSp>
          <xdr:nvGrpSpPr>
            <xdr:cNvPr id="804" name="Group 803">
              <a:extLst>
                <a:ext uri="{FF2B5EF4-FFF2-40B4-BE49-F238E27FC236}">
                  <a16:creationId xmlns:a16="http://schemas.microsoft.com/office/drawing/2014/main" id="{00000000-0008-0000-0000-000024030000}"/>
                </a:ext>
              </a:extLst>
            </xdr:cNvPr>
            <xdr:cNvGrpSpPr/>
          </xdr:nvGrpSpPr>
          <xdr:grpSpPr>
            <a:xfrm>
              <a:off x="15388260" y="19016228"/>
              <a:ext cx="4143458" cy="617933"/>
              <a:chOff x="9906558" y="15967955"/>
              <a:chExt cx="4177023" cy="603806"/>
            </a:xfrm>
          </xdr:grpSpPr>
          <xdr:grpSp>
            <xdr:nvGrpSpPr>
              <xdr:cNvPr id="821" name="Group 820">
                <a:extLst>
                  <a:ext uri="{FF2B5EF4-FFF2-40B4-BE49-F238E27FC236}">
                    <a16:creationId xmlns:a16="http://schemas.microsoft.com/office/drawing/2014/main" id="{00000000-0008-0000-0000-000035030000}"/>
                  </a:ext>
                </a:extLst>
              </xdr:cNvPr>
              <xdr:cNvGrpSpPr/>
            </xdr:nvGrpSpPr>
            <xdr:grpSpPr>
              <a:xfrm>
                <a:off x="9906558" y="15967955"/>
                <a:ext cx="4177023" cy="603806"/>
                <a:chOff x="9772834" y="16020484"/>
                <a:chExt cx="4173657" cy="595815"/>
              </a:xfrm>
            </xdr:grpSpPr>
            <xdr:sp macro="" textlink="">
              <xdr:nvSpPr>
                <xdr:cNvPr id="823" name="Rectangle: Rounded Corners 822">
                  <a:extLst>
                    <a:ext uri="{FF2B5EF4-FFF2-40B4-BE49-F238E27FC236}">
                      <a16:creationId xmlns:a16="http://schemas.microsoft.com/office/drawing/2014/main" id="{00000000-0008-0000-0000-00003703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24" name="Rectangle: Rounded Corners 823">
                  <a:extLst>
                    <a:ext uri="{FF2B5EF4-FFF2-40B4-BE49-F238E27FC236}">
                      <a16:creationId xmlns:a16="http://schemas.microsoft.com/office/drawing/2014/main" id="{00000000-0008-0000-0000-00003803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825" name="Straight Connector 824">
                  <a:extLst>
                    <a:ext uri="{FF2B5EF4-FFF2-40B4-BE49-F238E27FC236}">
                      <a16:creationId xmlns:a16="http://schemas.microsoft.com/office/drawing/2014/main" id="{00000000-0008-0000-0000-000039030000}"/>
                    </a:ext>
                  </a:extLst>
                </xdr:cNvPr>
                <xdr:cNvCxnSpPr/>
              </xdr:nvCxnSpPr>
              <xdr:spPr>
                <a:xfrm>
                  <a:off x="10466812" y="16090026"/>
                  <a:ext cx="1790" cy="52627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26" name="Straight Connector 825">
                  <a:extLst>
                    <a:ext uri="{FF2B5EF4-FFF2-40B4-BE49-F238E27FC236}">
                      <a16:creationId xmlns:a16="http://schemas.microsoft.com/office/drawing/2014/main" id="{00000000-0008-0000-0000-00003A030000}"/>
                    </a:ext>
                  </a:extLst>
                </xdr:cNvPr>
                <xdr:cNvCxnSpPr/>
              </xdr:nvCxnSpPr>
              <xdr:spPr>
                <a:xfrm>
                  <a:off x="11098469" y="16073671"/>
                  <a:ext cx="7669" cy="51995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sp macro="" textlink="">
              <xdr:nvSpPr>
                <xdr:cNvPr id="827" name="TextBox 826">
                  <a:extLst>
                    <a:ext uri="{FF2B5EF4-FFF2-40B4-BE49-F238E27FC236}">
                      <a16:creationId xmlns:a16="http://schemas.microsoft.com/office/drawing/2014/main" id="{00000000-0008-0000-0000-00003B03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828" name="TextBox 827">
                  <a:extLst>
                    <a:ext uri="{FF2B5EF4-FFF2-40B4-BE49-F238E27FC236}">
                      <a16:creationId xmlns:a16="http://schemas.microsoft.com/office/drawing/2014/main" id="{00000000-0008-0000-0000-00003C03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829" name="TextBox 828">
                  <a:extLst>
                    <a:ext uri="{FF2B5EF4-FFF2-40B4-BE49-F238E27FC236}">
                      <a16:creationId xmlns:a16="http://schemas.microsoft.com/office/drawing/2014/main" id="{00000000-0008-0000-0000-00003D03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
            <xdr:nvSpPr>
              <xdr:cNvPr id="822" name="TextBox 821">
                <a:extLst>
                  <a:ext uri="{FF2B5EF4-FFF2-40B4-BE49-F238E27FC236}">
                    <a16:creationId xmlns:a16="http://schemas.microsoft.com/office/drawing/2014/main" id="{00000000-0008-0000-0000-000036030000}"/>
                  </a:ext>
                </a:extLst>
              </xdr:cNvPr>
              <xdr:cNvSpPr txBox="1"/>
            </xdr:nvSpPr>
            <xdr:spPr>
              <a:xfrm>
                <a:off x="13301523" y="16258380"/>
                <a:ext cx="662214" cy="288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grpSp>
        <xdr:sp macro="" textlink="">
          <xdr:nvSpPr>
            <xdr:cNvPr id="805" name="TextBox 804">
              <a:extLst>
                <a:ext uri="{FF2B5EF4-FFF2-40B4-BE49-F238E27FC236}">
                  <a16:creationId xmlns:a16="http://schemas.microsoft.com/office/drawing/2014/main" id="{00000000-0008-0000-0000-000025030000}"/>
                </a:ext>
              </a:extLst>
            </xdr:cNvPr>
            <xdr:cNvSpPr txBox="1"/>
          </xdr:nvSpPr>
          <xdr:spPr>
            <a:xfrm>
              <a:off x="13652582" y="19052471"/>
              <a:ext cx="1406073" cy="561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X</a:t>
              </a:r>
              <a:endParaRPr lang="en-IN" sz="3100" b="1" i="0" spc="200" baseline="0">
                <a:solidFill>
                  <a:schemeClr val="bg1"/>
                </a:solidFill>
                <a:latin typeface="Calisto MT" panose="02040603050505030304" pitchFamily="18" charset="0"/>
              </a:endParaRPr>
            </a:p>
          </xdr:txBody>
        </xdr:sp>
        <xdr:sp macro="" textlink="FinalAnalysis!C72">
          <xdr:nvSpPr>
            <xdr:cNvPr id="806" name="TextBox 805">
              <a:extLst>
                <a:ext uri="{FF2B5EF4-FFF2-40B4-BE49-F238E27FC236}">
                  <a16:creationId xmlns:a16="http://schemas.microsoft.com/office/drawing/2014/main" id="{00000000-0008-0000-0000-000026030000}"/>
                </a:ext>
              </a:extLst>
            </xdr:cNvPr>
            <xdr:cNvSpPr txBox="1"/>
          </xdr:nvSpPr>
          <xdr:spPr>
            <a:xfrm>
              <a:off x="15292852" y="2224559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E44158F4-A266-470E-BB28-95F9B43107BD}" type="TxLink">
                <a:rPr lang="en-US" sz="1200" b="1" i="0" u="none" strike="noStrike">
                  <a:solidFill>
                    <a:srgbClr val="002060"/>
                  </a:solidFill>
                  <a:latin typeface="Comic Sans MS" panose="030F0702030302020204" pitchFamily="66" charset="0"/>
                  <a:ea typeface="Calibri"/>
                  <a:cs typeface="Calibri"/>
                </a:rPr>
                <a:pPr marL="0" indent="0" algn="r"/>
                <a:t>₹ 18,000.00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72">
          <xdr:nvSpPr>
            <xdr:cNvPr id="807" name="TextBox 806">
              <a:extLst>
                <a:ext uri="{FF2B5EF4-FFF2-40B4-BE49-F238E27FC236}">
                  <a16:creationId xmlns:a16="http://schemas.microsoft.com/office/drawing/2014/main" id="{00000000-0008-0000-0000-000027030000}"/>
                </a:ext>
              </a:extLst>
            </xdr:cNvPr>
            <xdr:cNvSpPr txBox="1"/>
          </xdr:nvSpPr>
          <xdr:spPr>
            <a:xfrm>
              <a:off x="16400761" y="22233587"/>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8150826F-39DC-424A-9619-86CE575927C8}"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72">
          <xdr:nvSpPr>
            <xdr:cNvPr id="808" name="TextBox 807">
              <a:extLst>
                <a:ext uri="{FF2B5EF4-FFF2-40B4-BE49-F238E27FC236}">
                  <a16:creationId xmlns:a16="http://schemas.microsoft.com/office/drawing/2014/main" id="{00000000-0008-0000-0000-000028030000}"/>
                </a:ext>
              </a:extLst>
            </xdr:cNvPr>
            <xdr:cNvSpPr txBox="1"/>
          </xdr:nvSpPr>
          <xdr:spPr>
            <a:xfrm>
              <a:off x="17585558" y="2224503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ECD1B3BC-1A4A-42BB-BE5B-3F64C554E1F8}"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72">
          <xdr:nvSpPr>
            <xdr:cNvPr id="809" name="TextBox 808">
              <a:extLst>
                <a:ext uri="{FF2B5EF4-FFF2-40B4-BE49-F238E27FC236}">
                  <a16:creationId xmlns:a16="http://schemas.microsoft.com/office/drawing/2014/main" id="{00000000-0008-0000-0000-000029030000}"/>
                </a:ext>
              </a:extLst>
            </xdr:cNvPr>
            <xdr:cNvSpPr txBox="1"/>
          </xdr:nvSpPr>
          <xdr:spPr>
            <a:xfrm>
              <a:off x="18645576" y="2224578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E8675A61-5785-477A-8D38-58D9FF584B01}" type="TxLink">
                <a:rPr lang="en-US" sz="1200" b="1" i="0" u="none" strike="noStrike">
                  <a:solidFill>
                    <a:srgbClr val="002060"/>
                  </a:solidFill>
                  <a:latin typeface="Comic Sans MS" panose="030F0702030302020204" pitchFamily="66" charset="0"/>
                  <a:ea typeface="Calibri"/>
                  <a:cs typeface="Calibri"/>
                </a:rPr>
                <a:pPr marL="0" indent="0" algn="r"/>
                <a:t>₹ 31,350.00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72">
          <xdr:nvSpPr>
            <xdr:cNvPr id="810" name="TextBox 809">
              <a:extLst>
                <a:ext uri="{FF2B5EF4-FFF2-40B4-BE49-F238E27FC236}">
                  <a16:creationId xmlns:a16="http://schemas.microsoft.com/office/drawing/2014/main" id="{00000000-0008-0000-0000-00002A030000}"/>
                </a:ext>
              </a:extLst>
            </xdr:cNvPr>
            <xdr:cNvSpPr txBox="1"/>
          </xdr:nvSpPr>
          <xdr:spPr>
            <a:xfrm>
              <a:off x="15282772" y="22521583"/>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4D1F3F5-B062-4A53-8323-184A6CCC79DE}" type="TxLink">
                <a:rPr lang="en-US" sz="1200" b="1" i="0" u="none" strike="noStrike">
                  <a:solidFill>
                    <a:srgbClr val="002060"/>
                  </a:solidFill>
                  <a:latin typeface="Comic Sans MS" panose="030F0702030302020204" pitchFamily="66" charset="0"/>
                  <a:ea typeface="Calibri"/>
                  <a:cs typeface="Calibri"/>
                </a:rPr>
                <a:pPr marL="0" indent="0" algn="r"/>
                <a:t>-₹ 5,000.00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72">
          <xdr:nvSpPr>
            <xdr:cNvPr id="811" name="TextBox 810">
              <a:extLst>
                <a:ext uri="{FF2B5EF4-FFF2-40B4-BE49-F238E27FC236}">
                  <a16:creationId xmlns:a16="http://schemas.microsoft.com/office/drawing/2014/main" id="{00000000-0008-0000-0000-00002B030000}"/>
                </a:ext>
              </a:extLst>
            </xdr:cNvPr>
            <xdr:cNvSpPr txBox="1"/>
          </xdr:nvSpPr>
          <xdr:spPr>
            <a:xfrm>
              <a:off x="16390681" y="2250743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0EF17BB8-FD0F-4289-A70B-85976B274309}"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72">
          <xdr:nvSpPr>
            <xdr:cNvPr id="812" name="TextBox 811">
              <a:extLst>
                <a:ext uri="{FF2B5EF4-FFF2-40B4-BE49-F238E27FC236}">
                  <a16:creationId xmlns:a16="http://schemas.microsoft.com/office/drawing/2014/main" id="{00000000-0008-0000-0000-00002C030000}"/>
                </a:ext>
              </a:extLst>
            </xdr:cNvPr>
            <xdr:cNvSpPr txBox="1"/>
          </xdr:nvSpPr>
          <xdr:spPr>
            <a:xfrm>
              <a:off x="17571796" y="22497358"/>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58E01374-D66B-4B25-9B90-B3B726681A8E}"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72">
          <xdr:nvSpPr>
            <xdr:cNvPr id="813" name="TextBox 812">
              <a:extLst>
                <a:ext uri="{FF2B5EF4-FFF2-40B4-BE49-F238E27FC236}">
                  <a16:creationId xmlns:a16="http://schemas.microsoft.com/office/drawing/2014/main" id="{00000000-0008-0000-0000-00002D030000}"/>
                </a:ext>
              </a:extLst>
            </xdr:cNvPr>
            <xdr:cNvSpPr txBox="1"/>
          </xdr:nvSpPr>
          <xdr:spPr>
            <a:xfrm>
              <a:off x="18648196" y="22519639"/>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B7233B7-94AD-44A1-8616-9AAFC34BA329}" type="TxLink">
                <a:rPr lang="en-US" sz="1200" b="1" i="0" u="none" strike="noStrike">
                  <a:solidFill>
                    <a:srgbClr val="002060"/>
                  </a:solidFill>
                  <a:latin typeface="Comic Sans MS" panose="030F0702030302020204" pitchFamily="66" charset="0"/>
                  <a:ea typeface="Calibri"/>
                  <a:cs typeface="Calibri"/>
                </a:rPr>
                <a:pPr marL="0" indent="0" algn="r"/>
                <a:t>₹ 1,650.00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C30">
          <xdr:nvSpPr>
            <xdr:cNvPr id="814" name="TextBox 813">
              <a:extLst>
                <a:ext uri="{FF2B5EF4-FFF2-40B4-BE49-F238E27FC236}">
                  <a16:creationId xmlns:a16="http://schemas.microsoft.com/office/drawing/2014/main" id="{00000000-0008-0000-0000-00002E030000}"/>
                </a:ext>
              </a:extLst>
            </xdr:cNvPr>
            <xdr:cNvSpPr txBox="1"/>
          </xdr:nvSpPr>
          <xdr:spPr>
            <a:xfrm>
              <a:off x="17770078" y="19161973"/>
              <a:ext cx="373122" cy="2634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D97030F7-A03E-45B4-8906-124229F465A3}" type="TxLink">
                <a:rPr lang="en-US" sz="1200" b="1" i="1" u="none" strike="noStrike">
                  <a:solidFill>
                    <a:srgbClr val="002060"/>
                  </a:solidFill>
                  <a:latin typeface="Comic Sans MS" panose="030F0702030302020204" pitchFamily="66" charset="0"/>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FinalAnalysis!J45">
          <xdr:nvSpPr>
            <xdr:cNvPr id="815" name="TextBox 814">
              <a:extLst>
                <a:ext uri="{FF2B5EF4-FFF2-40B4-BE49-F238E27FC236}">
                  <a16:creationId xmlns:a16="http://schemas.microsoft.com/office/drawing/2014/main" id="{00000000-0008-0000-0000-00002F030000}"/>
                </a:ext>
              </a:extLst>
            </xdr:cNvPr>
            <xdr:cNvSpPr txBox="1"/>
          </xdr:nvSpPr>
          <xdr:spPr>
            <a:xfrm>
              <a:off x="15614922" y="19233983"/>
              <a:ext cx="326494" cy="2594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30544A2-ABE9-48DD-82B8-7A9D06E9D39D}" type="TxLink">
                <a:rPr lang="en-US" sz="1600" b="1" i="0" u="none" strike="noStrike">
                  <a:solidFill>
                    <a:srgbClr val="002060"/>
                  </a:solidFill>
                  <a:latin typeface="Comic Sans MS" panose="030F0702030302020204" pitchFamily="66" charset="0"/>
                  <a:ea typeface="+mn-ea"/>
                  <a:cs typeface="+mn-cs"/>
                </a:rPr>
                <a:pPr marL="0" indent="0" algn="r"/>
                <a:t>2</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45">
          <xdr:nvSpPr>
            <xdr:cNvPr id="816" name="TextBox 815">
              <a:extLst>
                <a:ext uri="{FF2B5EF4-FFF2-40B4-BE49-F238E27FC236}">
                  <a16:creationId xmlns:a16="http://schemas.microsoft.com/office/drawing/2014/main" id="{00000000-0008-0000-0000-000030030000}"/>
                </a:ext>
              </a:extLst>
            </xdr:cNvPr>
            <xdr:cNvSpPr txBox="1"/>
          </xdr:nvSpPr>
          <xdr:spPr>
            <a:xfrm>
              <a:off x="16248931" y="19236869"/>
              <a:ext cx="330021" cy="277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312BEAA1-AD50-430F-BE6C-468DC367FF4A}" type="TxLink">
                <a:rPr lang="en-US" sz="1200" b="1" i="0" u="none" strike="noStrike">
                  <a:solidFill>
                    <a:srgbClr val="002060"/>
                  </a:solidFill>
                  <a:latin typeface="Comic Sans MS" panose="030F0702030302020204" pitchFamily="66" charset="0"/>
                  <a:ea typeface="+mn-ea"/>
                  <a:cs typeface="+mn-cs"/>
                </a:rPr>
                <a:pPr marL="0" indent="0" algn="r"/>
                <a:t>0</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45">
          <xdr:nvSpPr>
            <xdr:cNvPr id="817" name="TextBox 816">
              <a:extLst>
                <a:ext uri="{FF2B5EF4-FFF2-40B4-BE49-F238E27FC236}">
                  <a16:creationId xmlns:a16="http://schemas.microsoft.com/office/drawing/2014/main" id="{00000000-0008-0000-0000-000031030000}"/>
                </a:ext>
              </a:extLst>
            </xdr:cNvPr>
            <xdr:cNvSpPr txBox="1"/>
          </xdr:nvSpPr>
          <xdr:spPr>
            <a:xfrm>
              <a:off x="16778547" y="19222738"/>
              <a:ext cx="315912" cy="2594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D759BF3E-0F30-4339-9E75-E428EE3DA3A7}" type="TxLink">
                <a:rPr lang="en-US" sz="1200" b="1" i="0" u="none" strike="noStrike">
                  <a:solidFill>
                    <a:srgbClr val="002060"/>
                  </a:solidFill>
                  <a:latin typeface="Comic Sans MS" panose="030F0702030302020204" pitchFamily="66" charset="0"/>
                  <a:ea typeface="+mn-ea"/>
                  <a:cs typeface="+mn-cs"/>
                </a:rPr>
                <a:pPr marL="0" indent="0" algn="r"/>
                <a:t>2</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45">
          <xdr:nvSpPr>
            <xdr:cNvPr id="818" name="TextBox 817">
              <a:extLst>
                <a:ext uri="{FF2B5EF4-FFF2-40B4-BE49-F238E27FC236}">
                  <a16:creationId xmlns:a16="http://schemas.microsoft.com/office/drawing/2014/main" id="{00000000-0008-0000-0000-000032030000}"/>
                </a:ext>
              </a:extLst>
            </xdr:cNvPr>
            <xdr:cNvSpPr txBox="1"/>
          </xdr:nvSpPr>
          <xdr:spPr>
            <a:xfrm>
              <a:off x="14559757" y="20190997"/>
              <a:ext cx="735731" cy="257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D55ABB62-0B84-48E0-A30E-7EE5A8A3301A}" type="TxLink">
                <a:rPr lang="en-US" sz="1200" b="1" i="0" u="none" strike="noStrike">
                  <a:solidFill>
                    <a:srgbClr val="002060"/>
                  </a:solidFill>
                  <a:latin typeface="Comic Sans MS" panose="030F0702030302020204" pitchFamily="66" charset="0"/>
                  <a:ea typeface="Calibri"/>
                  <a:cs typeface="Calibri"/>
                </a:rPr>
                <a:pPr marL="0" indent="0" algn="r"/>
                <a:t>₹66,000.00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45">
          <xdr:nvSpPr>
            <xdr:cNvPr id="819" name="TextBox 818">
              <a:extLst>
                <a:ext uri="{FF2B5EF4-FFF2-40B4-BE49-F238E27FC236}">
                  <a16:creationId xmlns:a16="http://schemas.microsoft.com/office/drawing/2014/main" id="{00000000-0008-0000-0000-000033030000}"/>
                </a:ext>
              </a:extLst>
            </xdr:cNvPr>
            <xdr:cNvSpPr txBox="1"/>
          </xdr:nvSpPr>
          <xdr:spPr>
            <a:xfrm>
              <a:off x="14546527" y="20717086"/>
              <a:ext cx="735731" cy="4283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E5E91421-C32B-4D16-99E5-AFFFC5206B2B}" type="TxLink">
                <a:rPr lang="en-US" sz="1200" b="1" i="0" u="none" strike="noStrike">
                  <a:solidFill>
                    <a:srgbClr val="002060"/>
                  </a:solidFill>
                  <a:latin typeface="Comic Sans MS" panose="030F0702030302020204" pitchFamily="66" charset="0"/>
                  <a:ea typeface="Calibri"/>
                  <a:cs typeface="Calibri"/>
                </a:rPr>
                <a:pPr marL="0" indent="0" algn="r"/>
                <a:t>₹49,350.00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45">
          <xdr:nvSpPr>
            <xdr:cNvPr id="820" name="TextBox 819">
              <a:extLst>
                <a:ext uri="{FF2B5EF4-FFF2-40B4-BE49-F238E27FC236}">
                  <a16:creationId xmlns:a16="http://schemas.microsoft.com/office/drawing/2014/main" id="{00000000-0008-0000-0000-000034030000}"/>
                </a:ext>
              </a:extLst>
            </xdr:cNvPr>
            <xdr:cNvSpPr txBox="1"/>
          </xdr:nvSpPr>
          <xdr:spPr>
            <a:xfrm>
              <a:off x="14625902" y="21326977"/>
              <a:ext cx="735731" cy="372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B55F0E9-FEAE-44AC-B44F-6693EDA3A2C8}" type="TxLink">
                <a:rPr lang="en-US" sz="1200" b="1" i="0" u="none" strike="noStrike">
                  <a:solidFill>
                    <a:srgbClr val="002060"/>
                  </a:solidFill>
                  <a:latin typeface="Comic Sans MS" panose="030F0702030302020204" pitchFamily="66" charset="0"/>
                  <a:ea typeface="Calibri"/>
                  <a:cs typeface="Calibri"/>
                </a:rPr>
                <a:pPr marL="0" indent="0" algn="r"/>
                <a:t>₹16,650.00 </a:t>
              </a:fld>
              <a:endParaRPr lang="en-IN" sz="1200" b="1" i="0" u="none" strike="noStrike">
                <a:solidFill>
                  <a:srgbClr val="002060"/>
                </a:solidFill>
                <a:latin typeface="Comic Sans MS" panose="030F0702030302020204" pitchFamily="66" charset="0"/>
                <a:ea typeface="+mn-ea"/>
                <a:cs typeface="+mn-cs"/>
              </a:endParaRPr>
            </a:p>
          </xdr:txBody>
        </xdr:sp>
      </xdr:grpSp>
      <xdr:grpSp>
        <xdr:nvGrpSpPr>
          <xdr:cNvPr id="798" name="Group 797">
            <a:extLst>
              <a:ext uri="{FF2B5EF4-FFF2-40B4-BE49-F238E27FC236}">
                <a16:creationId xmlns:a16="http://schemas.microsoft.com/office/drawing/2014/main" id="{00000000-0008-0000-0000-00001E030000}"/>
              </a:ext>
            </a:extLst>
          </xdr:cNvPr>
          <xdr:cNvGrpSpPr/>
        </xdr:nvGrpSpPr>
        <xdr:grpSpPr>
          <a:xfrm>
            <a:off x="1850080" y="27982732"/>
            <a:ext cx="3509887" cy="1309753"/>
            <a:chOff x="1893241" y="7278981"/>
            <a:chExt cx="3509076" cy="1223521"/>
          </a:xfrm>
        </xdr:grpSpPr>
        <xdr:cxnSp macro="">
          <xdr:nvCxnSpPr>
            <xdr:cNvPr id="799" name="Straight Connector 798">
              <a:extLst>
                <a:ext uri="{FF2B5EF4-FFF2-40B4-BE49-F238E27FC236}">
                  <a16:creationId xmlns:a16="http://schemas.microsoft.com/office/drawing/2014/main" id="{00000000-0008-0000-0000-00001F030000}"/>
                </a:ext>
              </a:extLst>
            </xdr:cNvPr>
            <xdr:cNvCxnSpPr/>
          </xdr:nvCxnSpPr>
          <xdr:spPr>
            <a:xfrm>
              <a:off x="3061913" y="734953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00" name="Straight Connector 799">
              <a:extLst>
                <a:ext uri="{FF2B5EF4-FFF2-40B4-BE49-F238E27FC236}">
                  <a16:creationId xmlns:a16="http://schemas.microsoft.com/office/drawing/2014/main" id="{00000000-0008-0000-0000-00002003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01" name="Straight Connector 800">
              <a:extLst>
                <a:ext uri="{FF2B5EF4-FFF2-40B4-BE49-F238E27FC236}">
                  <a16:creationId xmlns:a16="http://schemas.microsoft.com/office/drawing/2014/main" id="{00000000-0008-0000-0000-000021030000}"/>
                </a:ext>
              </a:extLst>
            </xdr:cNvPr>
            <xdr:cNvCxnSpPr/>
          </xdr:nvCxnSpPr>
          <xdr:spPr>
            <a:xfrm>
              <a:off x="5397500" y="7361296"/>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02" name="Straight Connector 801">
              <a:extLst>
                <a:ext uri="{FF2B5EF4-FFF2-40B4-BE49-F238E27FC236}">
                  <a16:creationId xmlns:a16="http://schemas.microsoft.com/office/drawing/2014/main" id="{00000000-0008-0000-0000-000022030000}"/>
                </a:ext>
              </a:extLst>
            </xdr:cNvPr>
            <xdr:cNvCxnSpPr/>
          </xdr:nvCxnSpPr>
          <xdr:spPr>
            <a:xfrm>
              <a:off x="1893241" y="7278981"/>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12</xdr:col>
      <xdr:colOff>0</xdr:colOff>
      <xdr:row>131</xdr:row>
      <xdr:rowOff>0</xdr:rowOff>
    </xdr:from>
    <xdr:to>
      <xdr:col>13</xdr:col>
      <xdr:colOff>471475</xdr:colOff>
      <xdr:row>133</xdr:row>
      <xdr:rowOff>95044</xdr:rowOff>
    </xdr:to>
    <xdr:sp macro="" textlink="">
      <xdr:nvSpPr>
        <xdr:cNvPr id="854" name="Rectangle 853">
          <a:extLst>
            <a:ext uri="{FF2B5EF4-FFF2-40B4-BE49-F238E27FC236}">
              <a16:creationId xmlns:a16="http://schemas.microsoft.com/office/drawing/2014/main" id="{00000000-0008-0000-0000-000056030000}"/>
            </a:ext>
          </a:extLst>
        </xdr:cNvPr>
        <xdr:cNvSpPr/>
      </xdr:nvSpPr>
      <xdr:spPr>
        <a:xfrm>
          <a:off x="8801100" y="24377650"/>
          <a:ext cx="1690675" cy="463344"/>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218965</xdr:colOff>
      <xdr:row>154</xdr:row>
      <xdr:rowOff>153275</xdr:rowOff>
    </xdr:from>
    <xdr:to>
      <xdr:col>26</xdr:col>
      <xdr:colOff>267064</xdr:colOff>
      <xdr:row>157</xdr:row>
      <xdr:rowOff>128069</xdr:rowOff>
    </xdr:to>
    <xdr:sp macro="" textlink="">
      <xdr:nvSpPr>
        <xdr:cNvPr id="855" name="Arrow: Up 854">
          <a:hlinkClick xmlns:r="http://schemas.openxmlformats.org/officeDocument/2006/relationships" r:id="rId13"/>
          <a:extLst>
            <a:ext uri="{FF2B5EF4-FFF2-40B4-BE49-F238E27FC236}">
              <a16:creationId xmlns:a16="http://schemas.microsoft.com/office/drawing/2014/main" id="{00000000-0008-0000-0000-000057030000}"/>
            </a:ext>
          </a:extLst>
        </xdr:cNvPr>
        <xdr:cNvSpPr/>
      </xdr:nvSpPr>
      <xdr:spPr>
        <a:xfrm>
          <a:off x="19808715" y="28804475"/>
          <a:ext cx="302099" cy="527244"/>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271506</xdr:colOff>
      <xdr:row>23</xdr:row>
      <xdr:rowOff>149989</xdr:rowOff>
    </xdr:from>
    <xdr:to>
      <xdr:col>9</xdr:col>
      <xdr:colOff>86769</xdr:colOff>
      <xdr:row>47</xdr:row>
      <xdr:rowOff>127600</xdr:rowOff>
    </xdr:to>
    <xdr:grpSp>
      <xdr:nvGrpSpPr>
        <xdr:cNvPr id="856" name="Group 855">
          <a:extLst>
            <a:ext uri="{FF2B5EF4-FFF2-40B4-BE49-F238E27FC236}">
              <a16:creationId xmlns:a16="http://schemas.microsoft.com/office/drawing/2014/main" id="{00000000-0008-0000-0000-000058030000}"/>
            </a:ext>
          </a:extLst>
        </xdr:cNvPr>
        <xdr:cNvGrpSpPr/>
      </xdr:nvGrpSpPr>
      <xdr:grpSpPr>
        <a:xfrm>
          <a:off x="271506" y="4430765"/>
          <a:ext cx="6132418" cy="4444507"/>
          <a:chOff x="6957191" y="4110667"/>
          <a:chExt cx="6140026" cy="4314984"/>
        </a:xfrm>
      </xdr:grpSpPr>
      <xdr:grpSp>
        <xdr:nvGrpSpPr>
          <xdr:cNvPr id="857" name="Group 856">
            <a:extLst>
              <a:ext uri="{FF2B5EF4-FFF2-40B4-BE49-F238E27FC236}">
                <a16:creationId xmlns:a16="http://schemas.microsoft.com/office/drawing/2014/main" id="{00000000-0008-0000-0000-000059030000}"/>
              </a:ext>
            </a:extLst>
          </xdr:cNvPr>
          <xdr:cNvGrpSpPr/>
        </xdr:nvGrpSpPr>
        <xdr:grpSpPr>
          <a:xfrm>
            <a:off x="6957191" y="4110667"/>
            <a:ext cx="6140026" cy="4314984"/>
            <a:chOff x="344766" y="4265801"/>
            <a:chExt cx="6055631" cy="4281500"/>
          </a:xfrm>
        </xdr:grpSpPr>
        <xdr:grpSp>
          <xdr:nvGrpSpPr>
            <xdr:cNvPr id="887" name="Group 886">
              <a:extLst>
                <a:ext uri="{FF2B5EF4-FFF2-40B4-BE49-F238E27FC236}">
                  <a16:creationId xmlns:a16="http://schemas.microsoft.com/office/drawing/2014/main" id="{00000000-0008-0000-0000-000077030000}"/>
                </a:ext>
              </a:extLst>
            </xdr:cNvPr>
            <xdr:cNvGrpSpPr>
              <a:grpSpLocks/>
            </xdr:cNvGrpSpPr>
          </xdr:nvGrpSpPr>
          <xdr:grpSpPr>
            <a:xfrm>
              <a:off x="344766" y="4265801"/>
              <a:ext cx="6055631" cy="4281500"/>
              <a:chOff x="4615628" y="16240125"/>
              <a:chExt cx="5388081" cy="4325195"/>
            </a:xfrm>
          </xdr:grpSpPr>
          <xdr:sp macro="" textlink="">
            <xdr:nvSpPr>
              <xdr:cNvPr id="896" name="Rectangle 895">
                <a:extLst>
                  <a:ext uri="{FF2B5EF4-FFF2-40B4-BE49-F238E27FC236}">
                    <a16:creationId xmlns:a16="http://schemas.microsoft.com/office/drawing/2014/main" id="{00000000-0008-0000-0000-000080030000}"/>
                  </a:ext>
                </a:extLst>
              </xdr:cNvPr>
              <xdr:cNvSpPr/>
            </xdr:nvSpPr>
            <xdr:spPr>
              <a:xfrm rot="5400000">
                <a:off x="7867944" y="15482039"/>
                <a:ext cx="325830" cy="387395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97" name="Group 896">
                <a:extLst>
                  <a:ext uri="{FF2B5EF4-FFF2-40B4-BE49-F238E27FC236}">
                    <a16:creationId xmlns:a16="http://schemas.microsoft.com/office/drawing/2014/main" id="{00000000-0008-0000-0000-000081030000}"/>
                  </a:ext>
                </a:extLst>
              </xdr:cNvPr>
              <xdr:cNvGrpSpPr/>
            </xdr:nvGrpSpPr>
            <xdr:grpSpPr>
              <a:xfrm>
                <a:off x="4615628" y="16240125"/>
                <a:ext cx="5388081" cy="4325195"/>
                <a:chOff x="4615628" y="16240125"/>
                <a:chExt cx="5388081" cy="4325195"/>
              </a:xfrm>
            </xdr:grpSpPr>
            <xdr:sp macro="" textlink="">
              <xdr:nvSpPr>
                <xdr:cNvPr id="904" name="Rectangle: Rounded Corners 903">
                  <a:extLst>
                    <a:ext uri="{FF2B5EF4-FFF2-40B4-BE49-F238E27FC236}">
                      <a16:creationId xmlns:a16="http://schemas.microsoft.com/office/drawing/2014/main" id="{00000000-0008-0000-0000-00008803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05" name="Group 904">
                  <a:extLst>
                    <a:ext uri="{FF2B5EF4-FFF2-40B4-BE49-F238E27FC236}">
                      <a16:creationId xmlns:a16="http://schemas.microsoft.com/office/drawing/2014/main" id="{00000000-0008-0000-0000-000089030000}"/>
                    </a:ext>
                  </a:extLst>
                </xdr:cNvPr>
                <xdr:cNvGrpSpPr/>
              </xdr:nvGrpSpPr>
              <xdr:grpSpPr>
                <a:xfrm>
                  <a:off x="4615628" y="16240125"/>
                  <a:ext cx="5388081" cy="4325195"/>
                  <a:chOff x="4615628" y="16240125"/>
                  <a:chExt cx="5388081" cy="4325195"/>
                </a:xfrm>
              </xdr:grpSpPr>
              <xdr:sp macro="" textlink="">
                <xdr:nvSpPr>
                  <xdr:cNvPr id="907" name="TextBox 906">
                    <a:extLst>
                      <a:ext uri="{FF2B5EF4-FFF2-40B4-BE49-F238E27FC236}">
                        <a16:creationId xmlns:a16="http://schemas.microsoft.com/office/drawing/2014/main" id="{00000000-0008-0000-0000-00008B030000}"/>
                      </a:ext>
                    </a:extLst>
                  </xdr:cNvPr>
                  <xdr:cNvSpPr txBox="1"/>
                </xdr:nvSpPr>
                <xdr:spPr>
                  <a:xfrm rot="10800000">
                    <a:off x="4616920" y="19139810"/>
                    <a:ext cx="5386535" cy="1425510"/>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908" name="TextBox 907">
                    <a:extLst>
                      <a:ext uri="{FF2B5EF4-FFF2-40B4-BE49-F238E27FC236}">
                        <a16:creationId xmlns:a16="http://schemas.microsoft.com/office/drawing/2014/main" id="{00000000-0008-0000-0000-00008C030000}"/>
                      </a:ext>
                    </a:extLst>
                  </xdr:cNvPr>
                  <xdr:cNvSpPr txBox="1"/>
                </xdr:nvSpPr>
                <xdr:spPr>
                  <a:xfrm rot="5400000">
                    <a:off x="8531448" y="18482441"/>
                    <a:ext cx="2853472" cy="87824"/>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909" name="TextBox 908">
                    <a:extLst>
                      <a:ext uri="{FF2B5EF4-FFF2-40B4-BE49-F238E27FC236}">
                        <a16:creationId xmlns:a16="http://schemas.microsoft.com/office/drawing/2014/main" id="{00000000-0008-0000-0000-00008D030000}"/>
                      </a:ext>
                    </a:extLst>
                  </xdr:cNvPr>
                  <xdr:cNvSpPr txBox="1"/>
                </xdr:nvSpPr>
                <xdr:spPr>
                  <a:xfrm>
                    <a:off x="4615628" y="16240125"/>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910" name="Rectangle 909">
                    <a:extLst>
                      <a:ext uri="{FF2B5EF4-FFF2-40B4-BE49-F238E27FC236}">
                        <a16:creationId xmlns:a16="http://schemas.microsoft.com/office/drawing/2014/main" id="{00000000-0008-0000-0000-00008E030000}"/>
                      </a:ext>
                    </a:extLst>
                  </xdr:cNvPr>
                  <xdr:cNvSpPr/>
                </xdr:nvSpPr>
                <xdr:spPr>
                  <a:xfrm>
                    <a:off x="4617489" y="17304469"/>
                    <a:ext cx="1552110" cy="2531057"/>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906" name="Rectangle: Rounded Corners 905">
                  <a:extLst>
                    <a:ext uri="{FF2B5EF4-FFF2-40B4-BE49-F238E27FC236}">
                      <a16:creationId xmlns:a16="http://schemas.microsoft.com/office/drawing/2014/main" id="{00000000-0008-0000-0000-00008A030000}"/>
                    </a:ext>
                  </a:extLst>
                </xdr:cNvPr>
                <xdr:cNvSpPr/>
              </xdr:nvSpPr>
              <xdr:spPr>
                <a:xfrm>
                  <a:off x="4697081" y="19659103"/>
                  <a:ext cx="5204756" cy="784032"/>
                </a:xfrm>
                <a:prstGeom prst="roundRect">
                  <a:avLst>
                    <a:gd name="adj" fmla="val 32585"/>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898" name="Rectangle: Rounded Corners 897">
                <a:extLst>
                  <a:ext uri="{FF2B5EF4-FFF2-40B4-BE49-F238E27FC236}">
                    <a16:creationId xmlns:a16="http://schemas.microsoft.com/office/drawing/2014/main" id="{00000000-0008-0000-0000-000082030000}"/>
                  </a:ext>
                </a:extLst>
              </xdr:cNvPr>
              <xdr:cNvSpPr/>
            </xdr:nvSpPr>
            <xdr:spPr>
              <a:xfrm rot="5400000">
                <a:off x="5241586" y="17171212"/>
                <a:ext cx="251379" cy="137924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99" name="Rectangle: Rounded Corners 898">
                <a:extLst>
                  <a:ext uri="{FF2B5EF4-FFF2-40B4-BE49-F238E27FC236}">
                    <a16:creationId xmlns:a16="http://schemas.microsoft.com/office/drawing/2014/main" id="{00000000-0008-0000-0000-000083030000}"/>
                  </a:ext>
                </a:extLst>
              </xdr:cNvPr>
              <xdr:cNvSpPr/>
            </xdr:nvSpPr>
            <xdr:spPr>
              <a:xfrm rot="5400000">
                <a:off x="5250845" y="17747182"/>
                <a:ext cx="250470"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900" name="TextBox 899">
                <a:extLst>
                  <a:ext uri="{FF2B5EF4-FFF2-40B4-BE49-F238E27FC236}">
                    <a16:creationId xmlns:a16="http://schemas.microsoft.com/office/drawing/2014/main" id="{00000000-0008-0000-0000-000084030000}"/>
                  </a:ext>
                </a:extLst>
              </xdr:cNvPr>
              <xdr:cNvSpPr txBox="1"/>
            </xdr:nvSpPr>
            <xdr:spPr>
              <a:xfrm>
                <a:off x="4945007" y="18026558"/>
                <a:ext cx="1042165" cy="332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6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Recieved</a:t>
                </a:r>
              </a:p>
            </xdr:txBody>
          </xdr:sp>
          <xdr:sp macro="" textlink="">
            <xdr:nvSpPr>
              <xdr:cNvPr id="901" name="TextBox 900">
                <a:extLst>
                  <a:ext uri="{FF2B5EF4-FFF2-40B4-BE49-F238E27FC236}">
                    <a16:creationId xmlns:a16="http://schemas.microsoft.com/office/drawing/2014/main" id="{00000000-0008-0000-0000-000085030000}"/>
                  </a:ext>
                </a:extLst>
              </xdr:cNvPr>
              <xdr:cNvSpPr txBox="1"/>
            </xdr:nvSpPr>
            <xdr:spPr>
              <a:xfrm>
                <a:off x="5288167" y="18621340"/>
                <a:ext cx="617482" cy="2684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Pending</a:t>
                </a:r>
              </a:p>
            </xdr:txBody>
          </xdr:sp>
          <xdr:sp macro="" textlink="">
            <xdr:nvSpPr>
              <xdr:cNvPr id="902" name="TextBox 901">
                <a:extLst>
                  <a:ext uri="{FF2B5EF4-FFF2-40B4-BE49-F238E27FC236}">
                    <a16:creationId xmlns:a16="http://schemas.microsoft.com/office/drawing/2014/main" id="{00000000-0008-0000-0000-000086030000}"/>
                  </a:ext>
                </a:extLst>
              </xdr:cNvPr>
              <xdr:cNvSpPr txBox="1"/>
            </xdr:nvSpPr>
            <xdr:spPr>
              <a:xfrm>
                <a:off x="4882350" y="17471741"/>
                <a:ext cx="1093388" cy="28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IN" sz="900" b="1">
                    <a:solidFill>
                      <a:schemeClr val="bg1">
                        <a:lumMod val="95000"/>
                      </a:schemeClr>
                    </a:solidFill>
                    <a:latin typeface="Comic Sans MS" panose="030F0702030302020204" pitchFamily="66" charset="0"/>
                    <a:ea typeface="+mn-ea"/>
                    <a:cs typeface="+mn-cs"/>
                  </a:rPr>
                  <a:t>Fees</a:t>
                </a:r>
                <a:r>
                  <a:rPr lang="en-IN" sz="1400" b="1">
                    <a:solidFill>
                      <a:schemeClr val="bg1">
                        <a:lumMod val="95000"/>
                      </a:schemeClr>
                    </a:solidFill>
                    <a:latin typeface="Abadi" panose="020B0604020104020204" pitchFamily="34" charset="0"/>
                  </a:rPr>
                  <a:t> </a:t>
                </a:r>
                <a:r>
                  <a:rPr lang="en-IN" sz="900" b="1">
                    <a:solidFill>
                      <a:schemeClr val="bg1">
                        <a:lumMod val="95000"/>
                      </a:schemeClr>
                    </a:solidFill>
                    <a:latin typeface="Comic Sans MS" panose="030F0702030302020204" pitchFamily="66" charset="0"/>
                    <a:ea typeface="+mn-ea"/>
                    <a:cs typeface="+mn-cs"/>
                  </a:rPr>
                  <a:t>Estimate</a:t>
                </a:r>
              </a:p>
            </xdr:txBody>
          </xdr:sp>
          <xdr:sp macro="" textlink="">
            <xdr:nvSpPr>
              <xdr:cNvPr id="903" name="Rectangle: Rounded Corners 902">
                <a:extLst>
                  <a:ext uri="{FF2B5EF4-FFF2-40B4-BE49-F238E27FC236}">
                    <a16:creationId xmlns:a16="http://schemas.microsoft.com/office/drawing/2014/main" id="{00000000-0008-0000-0000-000087030000}"/>
                  </a:ext>
                </a:extLst>
              </xdr:cNvPr>
              <xdr:cNvSpPr/>
            </xdr:nvSpPr>
            <xdr:spPr>
              <a:xfrm rot="5400000">
                <a:off x="5274707" y="18313315"/>
                <a:ext cx="258312" cy="1380522"/>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888" name="Group 887">
              <a:extLst>
                <a:ext uri="{FF2B5EF4-FFF2-40B4-BE49-F238E27FC236}">
                  <a16:creationId xmlns:a16="http://schemas.microsoft.com/office/drawing/2014/main" id="{00000000-0008-0000-0000-000078030000}"/>
                </a:ext>
              </a:extLst>
            </xdr:cNvPr>
            <xdr:cNvGrpSpPr/>
          </xdr:nvGrpSpPr>
          <xdr:grpSpPr>
            <a:xfrm>
              <a:off x="483811" y="7299688"/>
              <a:ext cx="5557778" cy="914201"/>
              <a:chOff x="483811" y="7299688"/>
              <a:chExt cx="5557778" cy="914201"/>
            </a:xfrm>
          </xdr:grpSpPr>
          <xdr:sp macro="" textlink="">
            <xdr:nvSpPr>
              <xdr:cNvPr id="889" name="TextBox 888">
                <a:extLst>
                  <a:ext uri="{FF2B5EF4-FFF2-40B4-BE49-F238E27FC236}">
                    <a16:creationId xmlns:a16="http://schemas.microsoft.com/office/drawing/2014/main" id="{00000000-0008-0000-0000-000079030000}"/>
                  </a:ext>
                </a:extLst>
              </xdr:cNvPr>
              <xdr:cNvSpPr txBox="1"/>
            </xdr:nvSpPr>
            <xdr:spPr>
              <a:xfrm>
                <a:off x="483811" y="7299688"/>
                <a:ext cx="1411111" cy="3001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r>
                  <a:rPr lang="en-IN" sz="1000" b="1">
                    <a:solidFill>
                      <a:schemeClr val="bg1">
                        <a:lumMod val="95000"/>
                      </a:schemeClr>
                    </a:solidFill>
                    <a:latin typeface="Comic Sans MS" panose="030F0702030302020204" pitchFamily="66" charset="0"/>
                    <a:ea typeface="+mn-ea"/>
                    <a:cs typeface="+mn-cs"/>
                  </a:rPr>
                  <a:t>Termwise</a:t>
                </a:r>
                <a:r>
                  <a:rPr lang="en-IN" sz="1400" b="1" i="0" u="none" strike="noStrike">
                    <a:solidFill>
                      <a:srgbClr val="002060"/>
                    </a:solidFill>
                    <a:latin typeface="Comic Sans MS" panose="030F0702030302020204" pitchFamily="66" charset="0"/>
                    <a:ea typeface="+mn-ea"/>
                    <a:cs typeface="+mn-cs"/>
                  </a:rPr>
                  <a:t> </a:t>
                </a:r>
                <a:r>
                  <a:rPr lang="en-IN" sz="1000" b="1">
                    <a:solidFill>
                      <a:schemeClr val="bg1">
                        <a:lumMod val="95000"/>
                      </a:schemeClr>
                    </a:solidFill>
                    <a:latin typeface="Comic Sans MS" panose="030F0702030302020204" pitchFamily="66" charset="0"/>
                    <a:ea typeface="+mn-ea"/>
                    <a:cs typeface="+mn-cs"/>
                  </a:rPr>
                  <a:t>Details</a:t>
                </a:r>
              </a:p>
            </xdr:txBody>
          </xdr:sp>
          <xdr:sp macro="" textlink="">
            <xdr:nvSpPr>
              <xdr:cNvPr id="890" name="TextBox 889">
                <a:extLst>
                  <a:ext uri="{FF2B5EF4-FFF2-40B4-BE49-F238E27FC236}">
                    <a16:creationId xmlns:a16="http://schemas.microsoft.com/office/drawing/2014/main" id="{00000000-0008-0000-0000-00007A030000}"/>
                  </a:ext>
                </a:extLst>
              </xdr:cNvPr>
              <xdr:cNvSpPr txBox="1"/>
            </xdr:nvSpPr>
            <xdr:spPr>
              <a:xfrm>
                <a:off x="2368061" y="742849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Term 1</a:t>
                </a:r>
              </a:p>
            </xdr:txBody>
          </xdr:sp>
          <xdr:sp macro="" textlink="">
            <xdr:nvSpPr>
              <xdr:cNvPr id="891" name="TextBox 890">
                <a:extLst>
                  <a:ext uri="{FF2B5EF4-FFF2-40B4-BE49-F238E27FC236}">
                    <a16:creationId xmlns:a16="http://schemas.microsoft.com/office/drawing/2014/main" id="{00000000-0008-0000-0000-00007B030000}"/>
                  </a:ext>
                </a:extLst>
              </xdr:cNvPr>
              <xdr:cNvSpPr txBox="1"/>
            </xdr:nvSpPr>
            <xdr:spPr>
              <a:xfrm>
                <a:off x="3346913" y="744865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2</a:t>
                </a:r>
              </a:p>
            </xdr:txBody>
          </xdr:sp>
          <xdr:sp macro="" textlink="">
            <xdr:nvSpPr>
              <xdr:cNvPr id="892" name="TextBox 891">
                <a:extLst>
                  <a:ext uri="{FF2B5EF4-FFF2-40B4-BE49-F238E27FC236}">
                    <a16:creationId xmlns:a16="http://schemas.microsoft.com/office/drawing/2014/main" id="{00000000-0008-0000-0000-00007C030000}"/>
                  </a:ext>
                </a:extLst>
              </xdr:cNvPr>
              <xdr:cNvSpPr txBox="1"/>
            </xdr:nvSpPr>
            <xdr:spPr>
              <a:xfrm>
                <a:off x="4384252" y="7455402"/>
                <a:ext cx="602308" cy="227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900" b="1">
                    <a:solidFill>
                      <a:schemeClr val="bg1">
                        <a:lumMod val="95000"/>
                      </a:schemeClr>
                    </a:solidFill>
                    <a:latin typeface="Comic Sans MS" panose="030F0702030302020204" pitchFamily="66" charset="0"/>
                    <a:ea typeface="+mn-ea"/>
                    <a:cs typeface="+mn-cs"/>
                  </a:rPr>
                  <a:t>Term 3</a:t>
                </a:r>
              </a:p>
            </xdr:txBody>
          </xdr:sp>
          <xdr:sp macro="" textlink="">
            <xdr:nvSpPr>
              <xdr:cNvPr id="893" name="TextBox 892">
                <a:extLst>
                  <a:ext uri="{FF2B5EF4-FFF2-40B4-BE49-F238E27FC236}">
                    <a16:creationId xmlns:a16="http://schemas.microsoft.com/office/drawing/2014/main" id="{00000000-0008-0000-0000-00007D030000}"/>
                  </a:ext>
                </a:extLst>
              </xdr:cNvPr>
              <xdr:cNvSpPr txBox="1"/>
            </xdr:nvSpPr>
            <xdr:spPr>
              <a:xfrm>
                <a:off x="5173584" y="7405008"/>
                <a:ext cx="868005" cy="19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r"/>
                <a:r>
                  <a:rPr lang="en-IN" sz="900" b="1">
                    <a:solidFill>
                      <a:schemeClr val="bg1">
                        <a:lumMod val="95000"/>
                      </a:schemeClr>
                    </a:solidFill>
                    <a:latin typeface="Comic Sans MS" panose="030F0702030302020204" pitchFamily="66" charset="0"/>
                    <a:ea typeface="+mn-ea"/>
                    <a:cs typeface="+mn-cs"/>
                  </a:rPr>
                  <a:t>Monthly</a:t>
                </a:r>
                <a:r>
                  <a:rPr lang="en-IN" sz="900" b="1" baseline="0">
                    <a:solidFill>
                      <a:schemeClr val="bg1">
                        <a:lumMod val="95000"/>
                      </a:schemeClr>
                    </a:solidFill>
                    <a:latin typeface="Comic Sans MS" panose="030F0702030302020204" pitchFamily="66" charset="0"/>
                    <a:ea typeface="+mn-ea"/>
                    <a:cs typeface="+mn-cs"/>
                  </a:rPr>
                  <a:t>  and </a:t>
                </a:r>
                <a:r>
                  <a:rPr lang="en-IN" sz="900" b="1">
                    <a:solidFill>
                      <a:schemeClr val="bg1">
                        <a:lumMod val="95000"/>
                      </a:schemeClr>
                    </a:solidFill>
                    <a:latin typeface="Comic Sans MS" panose="030F0702030302020204" pitchFamily="66" charset="0"/>
                    <a:ea typeface="+mn-ea"/>
                    <a:cs typeface="+mn-cs"/>
                  </a:rPr>
                  <a:t>Annual</a:t>
                </a:r>
              </a:p>
            </xdr:txBody>
          </xdr:sp>
          <xdr:sp macro="" textlink="">
            <xdr:nvSpPr>
              <xdr:cNvPr id="894" name="TextBox 893">
                <a:extLst>
                  <a:ext uri="{FF2B5EF4-FFF2-40B4-BE49-F238E27FC236}">
                    <a16:creationId xmlns:a16="http://schemas.microsoft.com/office/drawing/2014/main" id="{00000000-0008-0000-0000-00007E030000}"/>
                  </a:ext>
                </a:extLst>
              </xdr:cNvPr>
              <xdr:cNvSpPr txBox="1"/>
            </xdr:nvSpPr>
            <xdr:spPr>
              <a:xfrm>
                <a:off x="667307" y="7652467"/>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Fees</a:t>
                </a:r>
                <a:r>
                  <a:rPr lang="en-IN" sz="1600" b="1">
                    <a:solidFill>
                      <a:srgbClr val="312B57"/>
                    </a:solidFill>
                    <a:latin typeface="Abadi" panose="020B0604020104020204" pitchFamily="34" charset="0"/>
                  </a:rPr>
                  <a:t> </a:t>
                </a:r>
                <a:r>
                  <a:rPr lang="en-IN" sz="900" b="1">
                    <a:solidFill>
                      <a:srgbClr val="002060"/>
                    </a:solidFill>
                    <a:latin typeface="Comic Sans MS" panose="030F0702030302020204" pitchFamily="66" charset="0"/>
                    <a:ea typeface="+mn-ea"/>
                    <a:cs typeface="+mn-cs"/>
                  </a:rPr>
                  <a:t>Recieved</a:t>
                </a:r>
              </a:p>
            </xdr:txBody>
          </xdr:sp>
          <xdr:sp macro="" textlink="">
            <xdr:nvSpPr>
              <xdr:cNvPr id="895" name="TextBox 894">
                <a:extLst>
                  <a:ext uri="{FF2B5EF4-FFF2-40B4-BE49-F238E27FC236}">
                    <a16:creationId xmlns:a16="http://schemas.microsoft.com/office/drawing/2014/main" id="{00000000-0008-0000-0000-00007F030000}"/>
                  </a:ext>
                </a:extLst>
              </xdr:cNvPr>
              <xdr:cNvSpPr txBox="1"/>
            </xdr:nvSpPr>
            <xdr:spPr>
              <a:xfrm>
                <a:off x="677387" y="7884292"/>
                <a:ext cx="1134241" cy="329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IN" sz="900" b="1">
                    <a:solidFill>
                      <a:srgbClr val="002060"/>
                    </a:solidFill>
                    <a:latin typeface="Comic Sans MS" panose="030F0702030302020204" pitchFamily="66" charset="0"/>
                    <a:ea typeface="+mn-ea"/>
                    <a:cs typeface="+mn-cs"/>
                  </a:rPr>
                  <a:t>Pending</a:t>
                </a:r>
              </a:p>
            </xdr:txBody>
          </xdr:sp>
        </xdr:grpSp>
      </xdr:grpSp>
      <xdr:sp macro="" textlink="FinalAnalysis!C60">
        <xdr:nvSpPr>
          <xdr:cNvPr id="858" name="TextBox 857">
            <a:extLst>
              <a:ext uri="{FF2B5EF4-FFF2-40B4-BE49-F238E27FC236}">
                <a16:creationId xmlns:a16="http://schemas.microsoft.com/office/drawing/2014/main" id="{00000000-0008-0000-0000-00005A030000}"/>
              </a:ext>
            </a:extLst>
          </xdr:cNvPr>
          <xdr:cNvSpPr txBox="1"/>
        </xdr:nvSpPr>
        <xdr:spPr>
          <a:xfrm>
            <a:off x="8496074" y="759405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943C315-79EB-49A7-ABE8-4777242F6C6F}" type="TxLink">
              <a:rPr lang="en-US" sz="1200" b="1" i="0" u="none" strike="noStrike">
                <a:solidFill>
                  <a:srgbClr val="002060"/>
                </a:solidFill>
                <a:latin typeface="Comic Sans MS" panose="030F0702030302020204" pitchFamily="66" charset="0"/>
                <a:ea typeface="Calibri"/>
                <a:cs typeface="Calibri"/>
              </a:rPr>
              <a:pPr marL="0" indent="0" algn="r"/>
              <a:t>₹ 5,000.00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H60">
        <xdr:nvSpPr>
          <xdr:cNvPr id="859" name="TextBox 858">
            <a:extLst>
              <a:ext uri="{FF2B5EF4-FFF2-40B4-BE49-F238E27FC236}">
                <a16:creationId xmlns:a16="http://schemas.microsoft.com/office/drawing/2014/main" id="{00000000-0008-0000-0000-00005B030000}"/>
              </a:ext>
            </a:extLst>
          </xdr:cNvPr>
          <xdr:cNvSpPr txBox="1"/>
        </xdr:nvSpPr>
        <xdr:spPr>
          <a:xfrm>
            <a:off x="9682726" y="760219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96E04817-931E-46B6-8C2B-DF7B168ADC71}" type="TxLink">
              <a:rPr lang="en-US" sz="1200" b="1" i="0" u="none" strike="noStrike">
                <a:solidFill>
                  <a:srgbClr val="002060"/>
                </a:solidFill>
                <a:latin typeface="Comic Sans MS" panose="030F0702030302020204" pitchFamily="66" charset="0"/>
                <a:ea typeface="Calibri"/>
                <a:cs typeface="Calibri"/>
              </a:rPr>
              <a:pPr marL="0" indent="0" algn="r"/>
              <a:t>₹ 5,000.00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M60">
        <xdr:nvSpPr>
          <xdr:cNvPr id="860" name="TextBox 859">
            <a:extLst>
              <a:ext uri="{FF2B5EF4-FFF2-40B4-BE49-F238E27FC236}">
                <a16:creationId xmlns:a16="http://schemas.microsoft.com/office/drawing/2014/main" id="{00000000-0008-0000-0000-00005C030000}"/>
              </a:ext>
            </a:extLst>
          </xdr:cNvPr>
          <xdr:cNvSpPr txBox="1"/>
        </xdr:nvSpPr>
        <xdr:spPr>
          <a:xfrm>
            <a:off x="10822251" y="758250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30A922C8-132B-4AD6-A38A-7BE5CC072D04}"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S60">
        <xdr:nvSpPr>
          <xdr:cNvPr id="861" name="TextBox 860">
            <a:extLst>
              <a:ext uri="{FF2B5EF4-FFF2-40B4-BE49-F238E27FC236}">
                <a16:creationId xmlns:a16="http://schemas.microsoft.com/office/drawing/2014/main" id="{00000000-0008-0000-0000-00005D030000}"/>
              </a:ext>
            </a:extLst>
          </xdr:cNvPr>
          <xdr:cNvSpPr txBox="1"/>
        </xdr:nvSpPr>
        <xdr:spPr>
          <a:xfrm>
            <a:off x="11761120" y="7577485"/>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279BDC76-4D3D-47FE-B22C-2DBB51AC45EA}" type="TxLink">
              <a:rPr lang="en-US" sz="1200" b="1" i="0" u="none" strike="noStrike">
                <a:solidFill>
                  <a:srgbClr val="002060"/>
                </a:solidFill>
                <a:latin typeface="Comic Sans MS" panose="030F0702030302020204" pitchFamily="66" charset="0"/>
                <a:ea typeface="Calibri"/>
                <a:cs typeface="Calibri"/>
              </a:rPr>
              <a:pPr marL="0" indent="0" algn="r"/>
              <a:t>₹ 24,000.00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D60">
        <xdr:nvSpPr>
          <xdr:cNvPr id="862" name="TextBox 861">
            <a:extLst>
              <a:ext uri="{FF2B5EF4-FFF2-40B4-BE49-F238E27FC236}">
                <a16:creationId xmlns:a16="http://schemas.microsoft.com/office/drawing/2014/main" id="{00000000-0008-0000-0000-00005E030000}"/>
              </a:ext>
            </a:extLst>
          </xdr:cNvPr>
          <xdr:cNvSpPr txBox="1"/>
        </xdr:nvSpPr>
        <xdr:spPr>
          <a:xfrm>
            <a:off x="8485993" y="7889166"/>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C4924AD8-7C55-475D-9554-EC0F82491A13}"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I60">
        <xdr:nvSpPr>
          <xdr:cNvPr id="863" name="TextBox 862">
            <a:extLst>
              <a:ext uri="{FF2B5EF4-FFF2-40B4-BE49-F238E27FC236}">
                <a16:creationId xmlns:a16="http://schemas.microsoft.com/office/drawing/2014/main" id="{00000000-0008-0000-0000-00005F030000}"/>
              </a:ext>
            </a:extLst>
          </xdr:cNvPr>
          <xdr:cNvSpPr txBox="1"/>
        </xdr:nvSpPr>
        <xdr:spPr>
          <a:xfrm>
            <a:off x="9672647" y="789730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667ED383-247F-4446-BC6C-C174C466C5B9}"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N60">
        <xdr:nvSpPr>
          <xdr:cNvPr id="864" name="TextBox 863">
            <a:extLst>
              <a:ext uri="{FF2B5EF4-FFF2-40B4-BE49-F238E27FC236}">
                <a16:creationId xmlns:a16="http://schemas.microsoft.com/office/drawing/2014/main" id="{00000000-0008-0000-0000-000060030000}"/>
              </a:ext>
            </a:extLst>
          </xdr:cNvPr>
          <xdr:cNvSpPr txBox="1"/>
        </xdr:nvSpPr>
        <xdr:spPr>
          <a:xfrm>
            <a:off x="10822251" y="7909502"/>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BF828CDD-0397-4D57-A5C7-E16187CF9193}"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T60">
        <xdr:nvSpPr>
          <xdr:cNvPr id="865" name="TextBox 864">
            <a:extLst>
              <a:ext uri="{FF2B5EF4-FFF2-40B4-BE49-F238E27FC236}">
                <a16:creationId xmlns:a16="http://schemas.microsoft.com/office/drawing/2014/main" id="{00000000-0008-0000-0000-000061030000}"/>
              </a:ext>
            </a:extLst>
          </xdr:cNvPr>
          <xdr:cNvSpPr txBox="1"/>
        </xdr:nvSpPr>
        <xdr:spPr>
          <a:xfrm>
            <a:off x="11762003" y="7910014"/>
            <a:ext cx="1136401" cy="306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r"/>
            <a:fld id="{868A05E3-E1FA-407A-8D0B-87B17BBC94E5}" type="TxLink">
              <a:rPr lang="en-US" sz="1200" b="1" i="0" u="none" strike="noStrike">
                <a:solidFill>
                  <a:srgbClr val="002060"/>
                </a:solidFill>
                <a:latin typeface="Comic Sans MS" panose="030F0702030302020204" pitchFamily="66" charset="0"/>
                <a:ea typeface="Calibri"/>
                <a:cs typeface="Calibri"/>
              </a:rPr>
              <a:pPr marL="0" indent="0" algn="r"/>
              <a:t>₹ 0.00</a:t>
            </a:fld>
            <a:endParaRPr lang="en-US" sz="1200" b="1" i="0" u="none" strike="noStrike">
              <a:solidFill>
                <a:srgbClr val="002060"/>
              </a:solidFill>
              <a:latin typeface="Comic Sans MS" panose="030F0702030302020204" pitchFamily="66" charset="0"/>
              <a:ea typeface="+mn-ea"/>
              <a:cs typeface="+mn-cs"/>
            </a:endParaRPr>
          </a:p>
        </xdr:txBody>
      </xdr:sp>
      <xdr:grpSp>
        <xdr:nvGrpSpPr>
          <xdr:cNvPr id="866" name="Group 865">
            <a:extLst>
              <a:ext uri="{FF2B5EF4-FFF2-40B4-BE49-F238E27FC236}">
                <a16:creationId xmlns:a16="http://schemas.microsoft.com/office/drawing/2014/main" id="{00000000-0008-0000-0000-000062030000}"/>
              </a:ext>
            </a:extLst>
          </xdr:cNvPr>
          <xdr:cNvGrpSpPr/>
        </xdr:nvGrpSpPr>
        <xdr:grpSpPr>
          <a:xfrm>
            <a:off x="8760379" y="4345568"/>
            <a:ext cx="4187695" cy="679285"/>
            <a:chOff x="9772834" y="16020484"/>
            <a:chExt cx="4173657" cy="658653"/>
          </a:xfrm>
        </xdr:grpSpPr>
        <xdr:sp macro="" textlink="">
          <xdr:nvSpPr>
            <xdr:cNvPr id="880" name="Rectangle: Rounded Corners 879">
              <a:extLst>
                <a:ext uri="{FF2B5EF4-FFF2-40B4-BE49-F238E27FC236}">
                  <a16:creationId xmlns:a16="http://schemas.microsoft.com/office/drawing/2014/main" id="{00000000-0008-0000-0000-000070030000}"/>
                </a:ext>
              </a:extLst>
            </xdr:cNvPr>
            <xdr:cNvSpPr/>
          </xdr:nvSpPr>
          <xdr:spPr>
            <a:xfrm>
              <a:off x="12026272" y="16186137"/>
              <a:ext cx="1920219" cy="34435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81" name="Rectangle: Rounded Corners 880">
              <a:extLst>
                <a:ext uri="{FF2B5EF4-FFF2-40B4-BE49-F238E27FC236}">
                  <a16:creationId xmlns:a16="http://schemas.microsoft.com/office/drawing/2014/main" id="{00000000-0008-0000-0000-000071030000}"/>
                </a:ext>
              </a:extLst>
            </xdr:cNvPr>
            <xdr:cNvSpPr/>
          </xdr:nvSpPr>
          <xdr:spPr>
            <a:xfrm>
              <a:off x="9772834" y="16208943"/>
              <a:ext cx="1920219" cy="316733"/>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882" name="Straight Connector 881">
              <a:extLst>
                <a:ext uri="{FF2B5EF4-FFF2-40B4-BE49-F238E27FC236}">
                  <a16:creationId xmlns:a16="http://schemas.microsoft.com/office/drawing/2014/main" id="{00000000-0008-0000-0000-000072030000}"/>
                </a:ext>
              </a:extLst>
            </xdr:cNvPr>
            <xdr:cNvCxnSpPr/>
          </xdr:nvCxnSpPr>
          <xdr:spPr>
            <a:xfrm>
              <a:off x="10469988" y="16088862"/>
              <a:ext cx="1790" cy="526273"/>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83" name="Straight Connector 882">
              <a:extLst>
                <a:ext uri="{FF2B5EF4-FFF2-40B4-BE49-F238E27FC236}">
                  <a16:creationId xmlns:a16="http://schemas.microsoft.com/office/drawing/2014/main" id="{00000000-0008-0000-0000-000073030000}"/>
                </a:ext>
              </a:extLst>
            </xdr:cNvPr>
            <xdr:cNvCxnSpPr>
              <a:endCxn id="904" idx="0"/>
            </xdr:cNvCxnSpPr>
          </xdr:nvCxnSpPr>
          <xdr:spPr>
            <a:xfrm>
              <a:off x="11079777" y="16109939"/>
              <a:ext cx="0" cy="56919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sp macro="" textlink="">
          <xdr:nvSpPr>
            <xdr:cNvPr id="884" name="TextBox 883">
              <a:extLst>
                <a:ext uri="{FF2B5EF4-FFF2-40B4-BE49-F238E27FC236}">
                  <a16:creationId xmlns:a16="http://schemas.microsoft.com/office/drawing/2014/main" id="{00000000-0008-0000-0000-000074030000}"/>
                </a:ext>
              </a:extLst>
            </xdr:cNvPr>
            <xdr:cNvSpPr txBox="1"/>
          </xdr:nvSpPr>
          <xdr:spPr>
            <a:xfrm>
              <a:off x="9897073" y="16046062"/>
              <a:ext cx="608325" cy="167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Students</a:t>
              </a:r>
            </a:p>
          </xdr:txBody>
        </xdr:sp>
        <xdr:sp macro="" textlink="">
          <xdr:nvSpPr>
            <xdr:cNvPr id="885" name="TextBox 884">
              <a:extLst>
                <a:ext uri="{FF2B5EF4-FFF2-40B4-BE49-F238E27FC236}">
                  <a16:creationId xmlns:a16="http://schemas.microsoft.com/office/drawing/2014/main" id="{00000000-0008-0000-0000-000075030000}"/>
                </a:ext>
              </a:extLst>
            </xdr:cNvPr>
            <xdr:cNvSpPr txBox="1"/>
          </xdr:nvSpPr>
          <xdr:spPr>
            <a:xfrm>
              <a:off x="10521312" y="16051508"/>
              <a:ext cx="517908" cy="15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Boys</a:t>
              </a:r>
            </a:p>
          </xdr:txBody>
        </xdr:sp>
        <xdr:sp macro="" textlink="">
          <xdr:nvSpPr>
            <xdr:cNvPr id="886" name="TextBox 885">
              <a:extLst>
                <a:ext uri="{FF2B5EF4-FFF2-40B4-BE49-F238E27FC236}">
                  <a16:creationId xmlns:a16="http://schemas.microsoft.com/office/drawing/2014/main" id="{00000000-0008-0000-0000-000076030000}"/>
                </a:ext>
              </a:extLst>
            </xdr:cNvPr>
            <xdr:cNvSpPr txBox="1"/>
          </xdr:nvSpPr>
          <xdr:spPr>
            <a:xfrm>
              <a:off x="10918541" y="16020484"/>
              <a:ext cx="665890" cy="2183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1000">
                  <a:solidFill>
                    <a:schemeClr val="bg1"/>
                  </a:solidFill>
                  <a:latin typeface="Abadi" panose="020B0604020104020204" pitchFamily="34" charset="0"/>
                  <a:ea typeface="+mn-ea"/>
                  <a:cs typeface="+mn-cs"/>
                </a:rPr>
                <a:t>Girls</a:t>
              </a:r>
            </a:p>
          </xdr:txBody>
        </xdr:sp>
      </xdr:grpSp>
      <xdr:sp macro="" textlink="FinalAnalysis!C30">
        <xdr:nvSpPr>
          <xdr:cNvPr id="867" name="TextBox 866">
            <a:extLst>
              <a:ext uri="{FF2B5EF4-FFF2-40B4-BE49-F238E27FC236}">
                <a16:creationId xmlns:a16="http://schemas.microsoft.com/office/drawing/2014/main" id="{00000000-0008-0000-0000-000063030000}"/>
              </a:ext>
            </a:extLst>
          </xdr:cNvPr>
          <xdr:cNvSpPr txBox="1"/>
        </xdr:nvSpPr>
        <xdr:spPr>
          <a:xfrm>
            <a:off x="11055558" y="4513530"/>
            <a:ext cx="679722" cy="2642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l"/>
            <a:fld id="{AA687164-C24B-4C32-8A9A-4EC9EF410B53}" type="TxLink">
              <a:rPr lang="en-US" sz="1100" b="0" i="0" u="none" strike="noStrike">
                <a:solidFill>
                  <a:srgbClr val="000000"/>
                </a:solidFill>
                <a:latin typeface="Calisto MT"/>
                <a:ea typeface="+mn-ea"/>
                <a:cs typeface="+mn-cs"/>
              </a:rPr>
              <a:pPr marL="0" indent="0" algn="l"/>
              <a:t>Overall</a:t>
            </a:fld>
            <a:endParaRPr lang="en-IN" sz="1200" b="1" i="1" u="none" strike="noStrike">
              <a:solidFill>
                <a:srgbClr val="002060"/>
              </a:solidFill>
              <a:latin typeface="Comic Sans MS" panose="030F0702030302020204" pitchFamily="66" charset="0"/>
              <a:ea typeface="+mn-ea"/>
              <a:cs typeface="+mn-cs"/>
            </a:endParaRPr>
          </a:p>
        </xdr:txBody>
      </xdr:sp>
      <xdr:sp macro="" textlink="">
        <xdr:nvSpPr>
          <xdr:cNvPr id="868" name="TextBox 867">
            <a:extLst>
              <a:ext uri="{FF2B5EF4-FFF2-40B4-BE49-F238E27FC236}">
                <a16:creationId xmlns:a16="http://schemas.microsoft.com/office/drawing/2014/main" id="{00000000-0008-0000-0000-000064030000}"/>
              </a:ext>
            </a:extLst>
          </xdr:cNvPr>
          <xdr:cNvSpPr txBox="1"/>
        </xdr:nvSpPr>
        <xdr:spPr>
          <a:xfrm>
            <a:off x="12144819" y="4614644"/>
            <a:ext cx="657371" cy="302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IN" sz="900" b="1">
                <a:solidFill>
                  <a:srgbClr val="002060"/>
                </a:solidFill>
                <a:latin typeface="Comic Sans MS" panose="030F0702030302020204" pitchFamily="66" charset="0"/>
                <a:ea typeface="+mn-ea"/>
                <a:cs typeface="+mn-cs"/>
              </a:rPr>
              <a:t>Report</a:t>
            </a:r>
            <a:r>
              <a:rPr lang="en-IN" sz="900" b="1" baseline="0">
                <a:solidFill>
                  <a:srgbClr val="002060"/>
                </a:solidFill>
                <a:latin typeface="Comic Sans MS" panose="030F0702030302020204" pitchFamily="66" charset="0"/>
                <a:ea typeface="+mn-ea"/>
                <a:cs typeface="+mn-cs"/>
              </a:rPr>
              <a:t> </a:t>
            </a:r>
            <a:endParaRPr lang="en-IN" sz="900" b="1">
              <a:solidFill>
                <a:srgbClr val="002060"/>
              </a:solidFill>
              <a:latin typeface="Comic Sans MS" panose="030F0702030302020204" pitchFamily="66" charset="0"/>
              <a:ea typeface="+mn-ea"/>
              <a:cs typeface="+mn-cs"/>
            </a:endParaRPr>
          </a:p>
        </xdr:txBody>
      </xdr:sp>
      <xdr:sp macro="" textlink="FinalAnalysis!J33">
        <xdr:nvSpPr>
          <xdr:cNvPr id="869" name="TextBox 868">
            <a:extLst>
              <a:ext uri="{FF2B5EF4-FFF2-40B4-BE49-F238E27FC236}">
                <a16:creationId xmlns:a16="http://schemas.microsoft.com/office/drawing/2014/main" id="{00000000-0008-0000-0000-000065030000}"/>
              </a:ext>
            </a:extLst>
          </xdr:cNvPr>
          <xdr:cNvSpPr txBox="1"/>
        </xdr:nvSpPr>
        <xdr:spPr>
          <a:xfrm>
            <a:off x="9043982" y="4565590"/>
            <a:ext cx="326494" cy="2611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20C73B4F-156E-406C-9B85-47BE90F3F0A6}" type="TxLink">
              <a:rPr lang="en-US" sz="1600" b="1" i="0" u="none" strike="noStrike">
                <a:solidFill>
                  <a:srgbClr val="002060"/>
                </a:solidFill>
                <a:latin typeface="Comic Sans MS" panose="030F0702030302020204" pitchFamily="66" charset="0"/>
                <a:ea typeface="Calibri"/>
                <a:cs typeface="Calibri"/>
              </a:rPr>
              <a:pPr marL="0" indent="0" algn="r"/>
              <a:t>3</a:t>
            </a:fld>
            <a:endParaRPr lang="en-IN" sz="1600" b="1" i="0" u="none" strike="noStrike">
              <a:solidFill>
                <a:srgbClr val="002060"/>
              </a:solidFill>
              <a:latin typeface="Comic Sans MS" panose="030F0702030302020204" pitchFamily="66" charset="0"/>
              <a:ea typeface="+mn-ea"/>
              <a:cs typeface="+mn-cs"/>
            </a:endParaRPr>
          </a:p>
        </xdr:txBody>
      </xdr:sp>
      <xdr:sp macro="" textlink="FinalAnalysis!H33">
        <xdr:nvSpPr>
          <xdr:cNvPr id="870" name="TextBox 869">
            <a:extLst>
              <a:ext uri="{FF2B5EF4-FFF2-40B4-BE49-F238E27FC236}">
                <a16:creationId xmlns:a16="http://schemas.microsoft.com/office/drawing/2014/main" id="{00000000-0008-0000-0000-000066030000}"/>
              </a:ext>
            </a:extLst>
          </xdr:cNvPr>
          <xdr:cNvSpPr txBox="1"/>
        </xdr:nvSpPr>
        <xdr:spPr>
          <a:xfrm>
            <a:off x="9520483" y="4558302"/>
            <a:ext cx="330021" cy="2760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6793E9BD-84C2-40A7-B771-B80840DED638}" type="TxLink">
              <a:rPr lang="en-US" sz="1200" b="1" i="0" u="none" strike="noStrike">
                <a:solidFill>
                  <a:srgbClr val="002060"/>
                </a:solidFill>
                <a:latin typeface="Comic Sans MS" panose="030F0702030302020204" pitchFamily="66" charset="0"/>
                <a:ea typeface="Calibri"/>
                <a:cs typeface="Calibri"/>
              </a:rPr>
              <a:pPr marL="0" indent="0" algn="r"/>
              <a:t>3</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I33">
        <xdr:nvSpPr>
          <xdr:cNvPr id="871" name="TextBox 870">
            <a:extLst>
              <a:ext uri="{FF2B5EF4-FFF2-40B4-BE49-F238E27FC236}">
                <a16:creationId xmlns:a16="http://schemas.microsoft.com/office/drawing/2014/main" id="{00000000-0008-0000-0000-000067030000}"/>
              </a:ext>
            </a:extLst>
          </xdr:cNvPr>
          <xdr:cNvSpPr txBox="1"/>
        </xdr:nvSpPr>
        <xdr:spPr>
          <a:xfrm>
            <a:off x="10107598" y="4564085"/>
            <a:ext cx="315912" cy="2581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F4C48A2-E4E1-469E-8066-70D59808C9AB}" type="TxLink">
              <a:rPr lang="en-US" sz="1200" b="1" i="0" u="none" strike="noStrike">
                <a:solidFill>
                  <a:srgbClr val="002060"/>
                </a:solidFill>
                <a:latin typeface="Comic Sans MS" panose="030F0702030302020204" pitchFamily="66" charset="0"/>
                <a:ea typeface="Calibri"/>
                <a:cs typeface="Calibri"/>
              </a:rPr>
              <a:pPr marL="0" indent="0" algn="r"/>
              <a:t>0</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D33">
        <xdr:nvSpPr>
          <xdr:cNvPr id="872" name="TextBox 871">
            <a:extLst>
              <a:ext uri="{FF2B5EF4-FFF2-40B4-BE49-F238E27FC236}">
                <a16:creationId xmlns:a16="http://schemas.microsoft.com/office/drawing/2014/main" id="{00000000-0008-0000-0000-000068030000}"/>
              </a:ext>
            </a:extLst>
          </xdr:cNvPr>
          <xdr:cNvSpPr txBox="1"/>
        </xdr:nvSpPr>
        <xdr:spPr>
          <a:xfrm>
            <a:off x="7884498" y="5612573"/>
            <a:ext cx="749554" cy="2441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0EC2A919-991E-445A-8B89-A73F68609DA5}" type="TxLink">
              <a:rPr lang="en-US" sz="1200" b="1" i="0" u="none" strike="noStrike">
                <a:solidFill>
                  <a:srgbClr val="002060"/>
                </a:solidFill>
                <a:latin typeface="Comic Sans MS" panose="030F0702030302020204" pitchFamily="66" charset="0"/>
                <a:ea typeface="Calibri"/>
                <a:cs typeface="Calibri"/>
              </a:rPr>
              <a:pPr marL="0" indent="0" algn="r"/>
              <a:t>₹36,000.00 </a:t>
            </a:fld>
            <a:endParaRPr lang="en-US" sz="1200" b="1" i="0" u="none" strike="noStrike">
              <a:solidFill>
                <a:srgbClr val="002060"/>
              </a:solidFill>
              <a:latin typeface="Comic Sans MS" panose="030F0702030302020204" pitchFamily="66" charset="0"/>
              <a:ea typeface="+mn-ea"/>
              <a:cs typeface="+mn-cs"/>
            </a:endParaRPr>
          </a:p>
        </xdr:txBody>
      </xdr:sp>
      <xdr:sp macro="" textlink="FinalAnalysis!F33">
        <xdr:nvSpPr>
          <xdr:cNvPr id="873" name="TextBox 872">
            <a:extLst>
              <a:ext uri="{FF2B5EF4-FFF2-40B4-BE49-F238E27FC236}">
                <a16:creationId xmlns:a16="http://schemas.microsoft.com/office/drawing/2014/main" id="{00000000-0008-0000-0000-000069030000}"/>
              </a:ext>
            </a:extLst>
          </xdr:cNvPr>
          <xdr:cNvSpPr txBox="1"/>
        </xdr:nvSpPr>
        <xdr:spPr>
          <a:xfrm>
            <a:off x="7884498" y="6144732"/>
            <a:ext cx="749554" cy="376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71543425-291A-4038-8EE7-F86768359A41}" type="TxLink">
              <a:rPr lang="en-US" sz="1200" b="1" i="0" u="none" strike="noStrike">
                <a:solidFill>
                  <a:srgbClr val="002060"/>
                </a:solidFill>
                <a:latin typeface="Comic Sans MS" panose="030F0702030302020204" pitchFamily="66" charset="0"/>
                <a:ea typeface="Calibri"/>
                <a:cs typeface="Calibri"/>
              </a:rPr>
              <a:pPr marL="0" indent="0" algn="r"/>
              <a:t>₹34,000.00 </a:t>
            </a:fld>
            <a:endParaRPr lang="en-IN" sz="1200" b="1" i="0" u="none" strike="noStrike">
              <a:solidFill>
                <a:srgbClr val="002060"/>
              </a:solidFill>
              <a:latin typeface="Comic Sans MS" panose="030F0702030302020204" pitchFamily="66" charset="0"/>
              <a:ea typeface="+mn-ea"/>
              <a:cs typeface="+mn-cs"/>
            </a:endParaRPr>
          </a:p>
        </xdr:txBody>
      </xdr:sp>
      <xdr:sp macro="" textlink="FinalAnalysis!G33">
        <xdr:nvSpPr>
          <xdr:cNvPr id="874" name="TextBox 873">
            <a:extLst>
              <a:ext uri="{FF2B5EF4-FFF2-40B4-BE49-F238E27FC236}">
                <a16:creationId xmlns:a16="http://schemas.microsoft.com/office/drawing/2014/main" id="{00000000-0008-0000-0000-00006A030000}"/>
              </a:ext>
            </a:extLst>
          </xdr:cNvPr>
          <xdr:cNvSpPr txBox="1"/>
        </xdr:nvSpPr>
        <xdr:spPr>
          <a:xfrm>
            <a:off x="7884498" y="6685819"/>
            <a:ext cx="749554" cy="361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r"/>
            <a:fld id="{A77DC190-BBD5-41C1-A1BC-5238754B8484}" type="TxLink">
              <a:rPr lang="en-US" sz="1200" b="1" i="0" u="none" strike="noStrike">
                <a:solidFill>
                  <a:srgbClr val="002060"/>
                </a:solidFill>
                <a:latin typeface="Comic Sans MS" panose="030F0702030302020204" pitchFamily="66" charset="0"/>
                <a:ea typeface="Calibri"/>
                <a:cs typeface="Calibri"/>
              </a:rPr>
              <a:pPr marL="0" indent="0" algn="r"/>
              <a:t>₹2,000.00 </a:t>
            </a:fld>
            <a:endParaRPr lang="en-IN" sz="1200" b="1" i="0" u="none" strike="noStrike">
              <a:solidFill>
                <a:srgbClr val="002060"/>
              </a:solidFill>
              <a:latin typeface="Comic Sans MS" panose="030F0702030302020204" pitchFamily="66" charset="0"/>
              <a:ea typeface="+mn-ea"/>
              <a:cs typeface="+mn-cs"/>
            </a:endParaRPr>
          </a:p>
        </xdr:txBody>
      </xdr:sp>
      <xdr:grpSp>
        <xdr:nvGrpSpPr>
          <xdr:cNvPr id="875" name="Group 874">
            <a:extLst>
              <a:ext uri="{FF2B5EF4-FFF2-40B4-BE49-F238E27FC236}">
                <a16:creationId xmlns:a16="http://schemas.microsoft.com/office/drawing/2014/main" id="{00000000-0008-0000-0000-00006B030000}"/>
              </a:ext>
            </a:extLst>
          </xdr:cNvPr>
          <xdr:cNvGrpSpPr/>
        </xdr:nvGrpSpPr>
        <xdr:grpSpPr>
          <a:xfrm>
            <a:off x="8439756" y="7140840"/>
            <a:ext cx="3520238" cy="1220105"/>
            <a:chOff x="1893241" y="7278981"/>
            <a:chExt cx="3509076" cy="1223521"/>
          </a:xfrm>
        </xdr:grpSpPr>
        <xdr:cxnSp macro="">
          <xdr:nvCxnSpPr>
            <xdr:cNvPr id="876" name="Straight Connector 875">
              <a:extLst>
                <a:ext uri="{FF2B5EF4-FFF2-40B4-BE49-F238E27FC236}">
                  <a16:creationId xmlns:a16="http://schemas.microsoft.com/office/drawing/2014/main" id="{00000000-0008-0000-0000-00006C030000}"/>
                </a:ext>
              </a:extLst>
            </xdr:cNvPr>
            <xdr:cNvCxnSpPr/>
          </xdr:nvCxnSpPr>
          <xdr:spPr>
            <a:xfrm>
              <a:off x="3061913" y="734953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77" name="Straight Connector 876">
              <a:extLst>
                <a:ext uri="{FF2B5EF4-FFF2-40B4-BE49-F238E27FC236}">
                  <a16:creationId xmlns:a16="http://schemas.microsoft.com/office/drawing/2014/main" id="{00000000-0008-0000-0000-00006D03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78" name="Straight Connector 877">
              <a:extLst>
                <a:ext uri="{FF2B5EF4-FFF2-40B4-BE49-F238E27FC236}">
                  <a16:creationId xmlns:a16="http://schemas.microsoft.com/office/drawing/2014/main" id="{00000000-0008-0000-0000-00006E030000}"/>
                </a:ext>
              </a:extLst>
            </xdr:cNvPr>
            <xdr:cNvCxnSpPr/>
          </xdr:nvCxnSpPr>
          <xdr:spPr>
            <a:xfrm>
              <a:off x="5397500" y="7361296"/>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79" name="Straight Connector 878">
              <a:extLst>
                <a:ext uri="{FF2B5EF4-FFF2-40B4-BE49-F238E27FC236}">
                  <a16:creationId xmlns:a16="http://schemas.microsoft.com/office/drawing/2014/main" id="{00000000-0008-0000-0000-00006F030000}"/>
                </a:ext>
              </a:extLst>
            </xdr:cNvPr>
            <xdr:cNvCxnSpPr/>
          </xdr:nvCxnSpPr>
          <xdr:spPr>
            <a:xfrm>
              <a:off x="1893241" y="7278981"/>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315299</xdr:colOff>
      <xdr:row>25</xdr:row>
      <xdr:rowOff>40507</xdr:rowOff>
    </xdr:from>
    <xdr:to>
      <xdr:col>3</xdr:col>
      <xdr:colOff>201823</xdr:colOff>
      <xdr:row>28</xdr:row>
      <xdr:rowOff>44094</xdr:rowOff>
    </xdr:to>
    <xdr:sp macro="" textlink="">
      <xdr:nvSpPr>
        <xdr:cNvPr id="911" name="TextBox 910">
          <a:extLst>
            <a:ext uri="{FF2B5EF4-FFF2-40B4-BE49-F238E27FC236}">
              <a16:creationId xmlns:a16="http://schemas.microsoft.com/office/drawing/2014/main" id="{00000000-0008-0000-0000-00008F030000}"/>
            </a:ext>
          </a:extLst>
        </xdr:cNvPr>
        <xdr:cNvSpPr txBox="1"/>
      </xdr:nvSpPr>
      <xdr:spPr>
        <a:xfrm>
          <a:off x="315299" y="4644257"/>
          <a:ext cx="1778824" cy="5560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3100" b="1" i="0" spc="200" baseline="0">
              <a:solidFill>
                <a:schemeClr val="bg1"/>
              </a:solidFill>
              <a:effectLst>
                <a:outerShdw blurRad="50800" dist="38100" dir="10800000" algn="r" rotWithShape="0">
                  <a:srgbClr val="000000">
                    <a:alpha val="40000"/>
                  </a:srgbClr>
                </a:outerShdw>
                <a:reflection blurRad="114300" stA="26000" endPos="45500" dir="5400000" sy="-100000" algn="bl"/>
              </a:effectLst>
              <a:latin typeface="Calisto MT" panose="02040603050505030304" pitchFamily="18" charset="0"/>
              <a:ea typeface="+mn-ea"/>
              <a:cs typeface="+mn-cs"/>
            </a:rPr>
            <a:t>Pre-KG</a:t>
          </a:r>
          <a:endParaRPr lang="en-IN" sz="3100" b="1" i="0" spc="200" baseline="0">
            <a:solidFill>
              <a:schemeClr val="bg1"/>
            </a:solidFill>
            <a:latin typeface="Calisto MT" panose="02040603050505030304" pitchFamily="18" charset="0"/>
          </a:endParaRPr>
        </a:p>
      </xdr:txBody>
    </xdr:sp>
    <xdr:clientData/>
  </xdr:twoCellAnchor>
  <xdr:twoCellAnchor>
    <xdr:from>
      <xdr:col>12</xdr:col>
      <xdr:colOff>0</xdr:colOff>
      <xdr:row>159</xdr:row>
      <xdr:rowOff>0</xdr:rowOff>
    </xdr:from>
    <xdr:to>
      <xdr:col>13</xdr:col>
      <xdr:colOff>471475</xdr:colOff>
      <xdr:row>161</xdr:row>
      <xdr:rowOff>95043</xdr:rowOff>
    </xdr:to>
    <xdr:sp macro="" textlink="">
      <xdr:nvSpPr>
        <xdr:cNvPr id="912" name="Rectangle 911">
          <a:extLst>
            <a:ext uri="{FF2B5EF4-FFF2-40B4-BE49-F238E27FC236}">
              <a16:creationId xmlns:a16="http://schemas.microsoft.com/office/drawing/2014/main" id="{00000000-0008-0000-0000-000090030000}"/>
            </a:ext>
          </a:extLst>
        </xdr:cNvPr>
        <xdr:cNvSpPr/>
      </xdr:nvSpPr>
      <xdr:spPr>
        <a:xfrm>
          <a:off x="8801100" y="29571950"/>
          <a:ext cx="1690675" cy="46334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1189795</xdr:colOff>
      <xdr:row>5</xdr:row>
      <xdr:rowOff>7333</xdr:rowOff>
    </xdr:from>
    <xdr:to>
      <xdr:col>24</xdr:col>
      <xdr:colOff>131379</xdr:colOff>
      <xdr:row>6</xdr:row>
      <xdr:rowOff>98535</xdr:rowOff>
    </xdr:to>
    <xdr:sp macro="" textlink="">
      <xdr:nvSpPr>
        <xdr:cNvPr id="913" name="Rectangle: Rounded Corners 912">
          <a:hlinkClick xmlns:r="http://schemas.openxmlformats.org/officeDocument/2006/relationships" r:id="rId3"/>
          <a:extLst>
            <a:ext uri="{FF2B5EF4-FFF2-40B4-BE49-F238E27FC236}">
              <a16:creationId xmlns:a16="http://schemas.microsoft.com/office/drawing/2014/main" id="{00000000-0008-0000-0000-000091030000}"/>
            </a:ext>
          </a:extLst>
        </xdr:cNvPr>
        <xdr:cNvSpPr/>
      </xdr:nvSpPr>
      <xdr:spPr>
        <a:xfrm>
          <a:off x="17763295" y="928083"/>
          <a:ext cx="1430784" cy="275352"/>
        </a:xfrm>
        <a:prstGeom prst="roundRect">
          <a:avLst/>
        </a:prstGeom>
        <a:solidFill>
          <a:srgbClr val="57A197">
            <a:alpha val="59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21</xdr:col>
      <xdr:colOff>98535</xdr:colOff>
      <xdr:row>0</xdr:row>
      <xdr:rowOff>21896</xdr:rowOff>
    </xdr:from>
    <xdr:to>
      <xdr:col>27</xdr:col>
      <xdr:colOff>61646</xdr:colOff>
      <xdr:row>3</xdr:row>
      <xdr:rowOff>148597</xdr:rowOff>
    </xdr:to>
    <xdr:grpSp>
      <xdr:nvGrpSpPr>
        <xdr:cNvPr id="920" name="Group 919">
          <a:extLst>
            <a:ext uri="{FF2B5EF4-FFF2-40B4-BE49-F238E27FC236}">
              <a16:creationId xmlns:a16="http://schemas.microsoft.com/office/drawing/2014/main" id="{00000000-0008-0000-0000-000098030000}"/>
            </a:ext>
          </a:extLst>
        </xdr:cNvPr>
        <xdr:cNvGrpSpPr/>
      </xdr:nvGrpSpPr>
      <xdr:grpSpPr>
        <a:xfrm>
          <a:off x="15437069" y="21896"/>
          <a:ext cx="4780353" cy="685063"/>
          <a:chOff x="16864864" y="1726096"/>
          <a:chExt cx="4780353" cy="685063"/>
        </a:xfrm>
      </xdr:grpSpPr>
      <mc:AlternateContent xmlns:mc="http://schemas.openxmlformats.org/markup-compatibility/2006" xmlns:a14="http://schemas.microsoft.com/office/drawing/2010/main">
        <mc:Choice Requires="a14">
          <xdr:graphicFrame macro="">
            <xdr:nvGraphicFramePr>
              <xdr:cNvPr id="921" name="Academic Year 3">
                <a:extLst>
                  <a:ext uri="{FF2B5EF4-FFF2-40B4-BE49-F238E27FC236}">
                    <a16:creationId xmlns:a16="http://schemas.microsoft.com/office/drawing/2014/main" id="{00000000-0008-0000-0000-000099030000}"/>
                  </a:ext>
                </a:extLst>
              </xdr:cNvPr>
              <xdr:cNvGraphicFramePr/>
            </xdr:nvGraphicFramePr>
            <xdr:xfrm>
              <a:off x="16933333" y="1791786"/>
              <a:ext cx="4711884" cy="619373"/>
            </xdr:xfrm>
            <a:graphic>
              <a:graphicData uri="http://schemas.microsoft.com/office/drawing/2010/slicer">
                <sle:slicer xmlns:sle="http://schemas.microsoft.com/office/drawing/2010/slicer" name="Academic Year 3"/>
              </a:graphicData>
            </a:graphic>
          </xdr:graphicFrame>
        </mc:Choice>
        <mc:Fallback xmlns="">
          <xdr:sp macro="" textlink="">
            <xdr:nvSpPr>
              <xdr:cNvPr id="0" name=""/>
              <xdr:cNvSpPr>
                <a:spLocks noTextEdit="1"/>
              </xdr:cNvSpPr>
            </xdr:nvSpPr>
            <xdr:spPr>
              <a:xfrm>
                <a:off x="15505538" y="87586"/>
                <a:ext cx="4711884" cy="6193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922" name="Rectangle: Rounded Corners 921">
            <a:extLst>
              <a:ext uri="{FF2B5EF4-FFF2-40B4-BE49-F238E27FC236}">
                <a16:creationId xmlns:a16="http://schemas.microsoft.com/office/drawing/2014/main" id="{00000000-0008-0000-0000-00009A030000}"/>
              </a:ext>
            </a:extLst>
          </xdr:cNvPr>
          <xdr:cNvSpPr/>
        </xdr:nvSpPr>
        <xdr:spPr>
          <a:xfrm>
            <a:off x="16864864" y="1726096"/>
            <a:ext cx="4205125" cy="326150"/>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fLocksWithSheet="0"/>
  </xdr:twoCellAnchor>
  <xdr:oneCellAnchor>
    <xdr:from>
      <xdr:col>21</xdr:col>
      <xdr:colOff>68929</xdr:colOff>
      <xdr:row>0</xdr:row>
      <xdr:rowOff>44055</xdr:rowOff>
    </xdr:from>
    <xdr:ext cx="2303376" cy="324897"/>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5391479" y="44055"/>
          <a:ext cx="2303376" cy="3248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IN" sz="1600">
              <a:solidFill>
                <a:schemeClr val="bg1"/>
              </a:solidFill>
              <a:latin typeface="Abadi" panose="020B0604020104020204" pitchFamily="34" charset="0"/>
              <a:ea typeface="+mn-ea"/>
              <a:cs typeface="+mn-cs"/>
            </a:rPr>
            <a:t>Select Academic Year</a:t>
          </a:r>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32</xdr:row>
          <xdr:rowOff>31750</xdr:rowOff>
        </xdr:from>
        <xdr:to>
          <xdr:col>8</xdr:col>
          <xdr:colOff>190500</xdr:colOff>
          <xdr:row>39</xdr:row>
          <xdr:rowOff>44450</xdr:rowOff>
        </xdr:to>
        <xdr:sp macro="" textlink="">
          <xdr:nvSpPr>
            <xdr:cNvPr id="8207" name="Scroll Bar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1359727</xdr:colOff>
      <xdr:row>102</xdr:row>
      <xdr:rowOff>83330</xdr:rowOff>
    </xdr:from>
    <xdr:to>
      <xdr:col>6</xdr:col>
      <xdr:colOff>293834</xdr:colOff>
      <xdr:row>104</xdr:row>
      <xdr:rowOff>133813</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8624127" y="19038080"/>
          <a:ext cx="1690007" cy="44418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22</xdr:col>
      <xdr:colOff>350345</xdr:colOff>
      <xdr:row>4</xdr:row>
      <xdr:rowOff>65689</xdr:rowOff>
    </xdr:to>
    <xdr:grpSp>
      <xdr:nvGrpSpPr>
        <xdr:cNvPr id="130" name="Group 129">
          <a:extLst>
            <a:ext uri="{FF2B5EF4-FFF2-40B4-BE49-F238E27FC236}">
              <a16:creationId xmlns:a16="http://schemas.microsoft.com/office/drawing/2014/main" id="{00000000-0008-0000-0100-000082000000}"/>
            </a:ext>
          </a:extLst>
        </xdr:cNvPr>
        <xdr:cNvGrpSpPr/>
      </xdr:nvGrpSpPr>
      <xdr:grpSpPr>
        <a:xfrm>
          <a:off x="0" y="0"/>
          <a:ext cx="20243362" cy="810172"/>
          <a:chOff x="613103" y="0"/>
          <a:chExt cx="25476638" cy="810172"/>
        </a:xfrm>
      </xdr:grpSpPr>
      <xdr:grpSp>
        <xdr:nvGrpSpPr>
          <xdr:cNvPr id="129" name="Group 128">
            <a:extLst>
              <a:ext uri="{FF2B5EF4-FFF2-40B4-BE49-F238E27FC236}">
                <a16:creationId xmlns:a16="http://schemas.microsoft.com/office/drawing/2014/main" id="{00000000-0008-0000-0100-000081000000}"/>
              </a:ext>
            </a:extLst>
          </xdr:cNvPr>
          <xdr:cNvGrpSpPr/>
        </xdr:nvGrpSpPr>
        <xdr:grpSpPr>
          <a:xfrm>
            <a:off x="613103" y="0"/>
            <a:ext cx="25476638" cy="810172"/>
            <a:chOff x="613103" y="0"/>
            <a:chExt cx="25476638" cy="810172"/>
          </a:xfrm>
        </xdr:grpSpPr>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613103" y="0"/>
              <a:ext cx="25476638" cy="810172"/>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613103" y="16711"/>
              <a:ext cx="19542673" cy="777904"/>
            </a:xfrm>
            <a:prstGeom prst="roundRect">
              <a:avLst/>
            </a:prstGeom>
            <a:solidFill>
              <a:schemeClr val="accent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4" name="Rectangle: Rounded Corners 123">
              <a:extLst>
                <a:ext uri="{FF2B5EF4-FFF2-40B4-BE49-F238E27FC236}">
                  <a16:creationId xmlns:a16="http://schemas.microsoft.com/office/drawing/2014/main" id="{00000000-0008-0000-0100-00007C000000}"/>
                </a:ext>
              </a:extLst>
            </xdr:cNvPr>
            <xdr:cNvSpPr/>
          </xdr:nvSpPr>
          <xdr:spPr>
            <a:xfrm>
              <a:off x="20146798" y="12097"/>
              <a:ext cx="4919263" cy="316352"/>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1616998" y="176995"/>
            <a:ext cx="7042150" cy="3883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r>
              <a:rPr lang="en-IN" sz="2000">
                <a:solidFill>
                  <a:schemeClr val="bg1"/>
                </a:solidFill>
                <a:latin typeface="Calisto MT" panose="02040603050505030304" pitchFamily="18" charset="0"/>
              </a:rPr>
              <a:t>NEW LIFE MATRICULATION ACADEMY</a:t>
            </a:r>
          </a:p>
        </xdr:txBody>
      </xdr:sp>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756061" y="137800"/>
            <a:ext cx="725094" cy="485107"/>
          </a:xfrm>
          <a:prstGeom prst="rect">
            <a:avLst/>
          </a:prstGeom>
        </xdr:spPr>
      </xdr:pic>
    </xdr:grpSp>
    <xdr:clientData/>
  </xdr:twoCellAnchor>
  <xdr:twoCellAnchor>
    <xdr:from>
      <xdr:col>11</xdr:col>
      <xdr:colOff>515268</xdr:colOff>
      <xdr:row>92</xdr:row>
      <xdr:rowOff>71552</xdr:rowOff>
    </xdr:from>
    <xdr:to>
      <xdr:col>12</xdr:col>
      <xdr:colOff>527329</xdr:colOff>
      <xdr:row>93</xdr:row>
      <xdr:rowOff>134202</xdr:rowOff>
    </xdr:to>
    <xdr:sp macro="" textlink="">
      <xdr:nvSpPr>
        <xdr:cNvPr id="126" name="TextBox 125">
          <a:extLst>
            <a:ext uri="{FF2B5EF4-FFF2-40B4-BE49-F238E27FC236}">
              <a16:creationId xmlns:a16="http://schemas.microsoft.com/office/drawing/2014/main" id="{00000000-0008-0000-0100-00007E000000}"/>
            </a:ext>
          </a:extLst>
        </xdr:cNvPr>
        <xdr:cNvSpPr txBox="1"/>
      </xdr:nvSpPr>
      <xdr:spPr>
        <a:xfrm>
          <a:off x="13831218" y="17140352"/>
          <a:ext cx="621661" cy="253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chemeClr val="bg1"/>
              </a:solidFill>
              <a:latin typeface="Abadi" panose="020B0604020104020204" pitchFamily="34" charset="0"/>
              <a:ea typeface="+mn-ea"/>
              <a:cs typeface="+mn-cs"/>
            </a:rPr>
            <a:t>Students</a:t>
          </a:r>
        </a:p>
      </xdr:txBody>
    </xdr:sp>
    <xdr:clientData/>
  </xdr:twoCellAnchor>
  <xdr:oneCellAnchor>
    <xdr:from>
      <xdr:col>4</xdr:col>
      <xdr:colOff>0</xdr:colOff>
      <xdr:row>47</xdr:row>
      <xdr:rowOff>161269</xdr:rowOff>
    </xdr:from>
    <xdr:ext cx="184731" cy="265265"/>
    <xdr:sp macro="" textlink="">
      <xdr:nvSpPr>
        <xdr:cNvPr id="127" name="TextBox 126">
          <a:extLst>
            <a:ext uri="{FF2B5EF4-FFF2-40B4-BE49-F238E27FC236}">
              <a16:creationId xmlns:a16="http://schemas.microsoft.com/office/drawing/2014/main" id="{00000000-0008-0000-0100-00007F000000}"/>
            </a:ext>
          </a:extLst>
        </xdr:cNvPr>
        <xdr:cNvSpPr txBox="1"/>
      </xdr:nvSpPr>
      <xdr:spPr>
        <a:xfrm>
          <a:off x="6789863" y="8873469"/>
          <a:ext cx="184731" cy="265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4</xdr:col>
      <xdr:colOff>1372054</xdr:colOff>
      <xdr:row>48</xdr:row>
      <xdr:rowOff>11339</xdr:rowOff>
    </xdr:from>
    <xdr:to>
      <xdr:col>6</xdr:col>
      <xdr:colOff>306161</xdr:colOff>
      <xdr:row>50</xdr:row>
      <xdr:rowOff>113393</xdr:rowOff>
    </xdr:to>
    <xdr:sp macro="" textlink="">
      <xdr:nvSpPr>
        <xdr:cNvPr id="145" name="Rectangle 144">
          <a:extLst>
            <a:ext uri="{FF2B5EF4-FFF2-40B4-BE49-F238E27FC236}">
              <a16:creationId xmlns:a16="http://schemas.microsoft.com/office/drawing/2014/main" id="{00000000-0008-0000-0100-000091000000}"/>
            </a:ext>
          </a:extLst>
        </xdr:cNvPr>
        <xdr:cNvSpPr/>
      </xdr:nvSpPr>
      <xdr:spPr>
        <a:xfrm>
          <a:off x="8636454" y="8907689"/>
          <a:ext cx="1690007" cy="470354"/>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1326697</xdr:colOff>
      <xdr:row>76</xdr:row>
      <xdr:rowOff>124732</xdr:rowOff>
    </xdr:from>
    <xdr:to>
      <xdr:col>6</xdr:col>
      <xdr:colOff>260804</xdr:colOff>
      <xdr:row>79</xdr:row>
      <xdr:rowOff>56697</xdr:rowOff>
    </xdr:to>
    <xdr:sp macro="" textlink="">
      <xdr:nvSpPr>
        <xdr:cNvPr id="146" name="Rectangle 145">
          <a:extLst>
            <a:ext uri="{FF2B5EF4-FFF2-40B4-BE49-F238E27FC236}">
              <a16:creationId xmlns:a16="http://schemas.microsoft.com/office/drawing/2014/main" id="{00000000-0008-0000-0100-000092000000}"/>
            </a:ext>
          </a:extLst>
        </xdr:cNvPr>
        <xdr:cNvSpPr/>
      </xdr:nvSpPr>
      <xdr:spPr>
        <a:xfrm>
          <a:off x="8591097" y="14215382"/>
          <a:ext cx="1690007" cy="48441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136766</xdr:colOff>
      <xdr:row>72</xdr:row>
      <xdr:rowOff>76001</xdr:rowOff>
    </xdr:from>
    <xdr:to>
      <xdr:col>19</xdr:col>
      <xdr:colOff>184865</xdr:colOff>
      <xdr:row>75</xdr:row>
      <xdr:rowOff>50796</xdr:rowOff>
    </xdr:to>
    <xdr:sp macro="" textlink="">
      <xdr:nvSpPr>
        <xdr:cNvPr id="147" name="Arrow: Up 146">
          <a:hlinkClick xmlns:r="http://schemas.openxmlformats.org/officeDocument/2006/relationships" r:id="rId2"/>
          <a:extLst>
            <a:ext uri="{FF2B5EF4-FFF2-40B4-BE49-F238E27FC236}">
              <a16:creationId xmlns:a16="http://schemas.microsoft.com/office/drawing/2014/main" id="{00000000-0008-0000-0100-000093000000}"/>
            </a:ext>
          </a:extLst>
        </xdr:cNvPr>
        <xdr:cNvSpPr/>
      </xdr:nvSpPr>
      <xdr:spPr>
        <a:xfrm>
          <a:off x="19726516" y="13430051"/>
          <a:ext cx="302099" cy="527245"/>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58796</xdr:colOff>
      <xdr:row>46</xdr:row>
      <xdr:rowOff>70556</xdr:rowOff>
    </xdr:from>
    <xdr:to>
      <xdr:col>19</xdr:col>
      <xdr:colOff>106895</xdr:colOff>
      <xdr:row>49</xdr:row>
      <xdr:rowOff>45350</xdr:rowOff>
    </xdr:to>
    <xdr:sp macro="" textlink="">
      <xdr:nvSpPr>
        <xdr:cNvPr id="148" name="Arrow: Up 147">
          <a:hlinkClick xmlns:r="http://schemas.openxmlformats.org/officeDocument/2006/relationships" r:id="rId2"/>
          <a:extLst>
            <a:ext uri="{FF2B5EF4-FFF2-40B4-BE49-F238E27FC236}">
              <a16:creationId xmlns:a16="http://schemas.microsoft.com/office/drawing/2014/main" id="{00000000-0008-0000-0100-000094000000}"/>
            </a:ext>
          </a:extLst>
        </xdr:cNvPr>
        <xdr:cNvSpPr/>
      </xdr:nvSpPr>
      <xdr:spPr>
        <a:xfrm>
          <a:off x="19648546" y="8598606"/>
          <a:ext cx="302099" cy="527244"/>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168312</xdr:colOff>
      <xdr:row>102</xdr:row>
      <xdr:rowOff>28172</xdr:rowOff>
    </xdr:from>
    <xdr:to>
      <xdr:col>19</xdr:col>
      <xdr:colOff>216411</xdr:colOff>
      <xdr:row>104</xdr:row>
      <xdr:rowOff>125082</xdr:rowOff>
    </xdr:to>
    <xdr:sp macro="" textlink="">
      <xdr:nvSpPr>
        <xdr:cNvPr id="149" name="Arrow: Up 148">
          <a:hlinkClick xmlns:r="http://schemas.openxmlformats.org/officeDocument/2006/relationships" r:id="rId2"/>
          <a:extLst>
            <a:ext uri="{FF2B5EF4-FFF2-40B4-BE49-F238E27FC236}">
              <a16:creationId xmlns:a16="http://schemas.microsoft.com/office/drawing/2014/main" id="{00000000-0008-0000-0100-000095000000}"/>
            </a:ext>
          </a:extLst>
        </xdr:cNvPr>
        <xdr:cNvSpPr/>
      </xdr:nvSpPr>
      <xdr:spPr>
        <a:xfrm>
          <a:off x="19758062" y="18982922"/>
          <a:ext cx="302099" cy="490610"/>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223020</xdr:colOff>
      <xdr:row>128</xdr:row>
      <xdr:rowOff>82880</xdr:rowOff>
    </xdr:from>
    <xdr:to>
      <xdr:col>19</xdr:col>
      <xdr:colOff>271119</xdr:colOff>
      <xdr:row>131</xdr:row>
      <xdr:rowOff>57674</xdr:rowOff>
    </xdr:to>
    <xdr:sp macro="" textlink="">
      <xdr:nvSpPr>
        <xdr:cNvPr id="150" name="Arrow: Up 149">
          <a:hlinkClick xmlns:r="http://schemas.openxmlformats.org/officeDocument/2006/relationships" r:id="rId2"/>
          <a:extLst>
            <a:ext uri="{FF2B5EF4-FFF2-40B4-BE49-F238E27FC236}">
              <a16:creationId xmlns:a16="http://schemas.microsoft.com/office/drawing/2014/main" id="{00000000-0008-0000-0100-000096000000}"/>
            </a:ext>
          </a:extLst>
        </xdr:cNvPr>
        <xdr:cNvSpPr/>
      </xdr:nvSpPr>
      <xdr:spPr>
        <a:xfrm>
          <a:off x="19812770" y="23901730"/>
          <a:ext cx="302099" cy="527244"/>
        </a:xfrm>
        <a:prstGeom prst="upArrow">
          <a:avLst>
            <a:gd name="adj1" fmla="val 50000"/>
            <a:gd name="adj2" fmla="val 131972"/>
          </a:avLst>
        </a:prstGeom>
        <a:solidFill>
          <a:srgbClr val="5F549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13</xdr:col>
      <xdr:colOff>525339</xdr:colOff>
      <xdr:row>122</xdr:row>
      <xdr:rowOff>42732</xdr:rowOff>
    </xdr:from>
    <xdr:to>
      <xdr:col>16</xdr:col>
      <xdr:colOff>553675</xdr:colOff>
      <xdr:row>129</xdr:row>
      <xdr:rowOff>49640</xdr:rowOff>
    </xdr:to>
    <xdr:grpSp>
      <xdr:nvGrpSpPr>
        <xdr:cNvPr id="829" name="Group 828">
          <a:extLst>
            <a:ext uri="{FF2B5EF4-FFF2-40B4-BE49-F238E27FC236}">
              <a16:creationId xmlns:a16="http://schemas.microsoft.com/office/drawing/2014/main" id="{00000000-0008-0000-0100-00003D030000}"/>
            </a:ext>
          </a:extLst>
        </xdr:cNvPr>
        <xdr:cNvGrpSpPr/>
      </xdr:nvGrpSpPr>
      <xdr:grpSpPr>
        <a:xfrm>
          <a:off x="13849391" y="22902732"/>
          <a:ext cx="3509887" cy="1309753"/>
          <a:chOff x="1893241" y="7278981"/>
          <a:chExt cx="3509076" cy="1223521"/>
        </a:xfrm>
      </xdr:grpSpPr>
      <xdr:cxnSp macro="">
        <xdr:nvCxnSpPr>
          <xdr:cNvPr id="830" name="Straight Connector 829">
            <a:extLst>
              <a:ext uri="{FF2B5EF4-FFF2-40B4-BE49-F238E27FC236}">
                <a16:creationId xmlns:a16="http://schemas.microsoft.com/office/drawing/2014/main" id="{00000000-0008-0000-0100-00003E030000}"/>
              </a:ext>
            </a:extLst>
          </xdr:cNvPr>
          <xdr:cNvCxnSpPr/>
        </xdr:nvCxnSpPr>
        <xdr:spPr>
          <a:xfrm>
            <a:off x="3061913" y="7349537"/>
            <a:ext cx="4208" cy="112944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31" name="Straight Connector 830">
            <a:extLst>
              <a:ext uri="{FF2B5EF4-FFF2-40B4-BE49-F238E27FC236}">
                <a16:creationId xmlns:a16="http://schemas.microsoft.com/office/drawing/2014/main" id="{00000000-0008-0000-0100-00003F030000}"/>
              </a:ext>
            </a:extLst>
          </xdr:cNvPr>
          <xdr:cNvCxnSpPr/>
        </xdr:nvCxnSpPr>
        <xdr:spPr>
          <a:xfrm>
            <a:off x="4230586" y="7396574"/>
            <a:ext cx="2448" cy="1093728"/>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32" name="Straight Connector 831">
            <a:extLst>
              <a:ext uri="{FF2B5EF4-FFF2-40B4-BE49-F238E27FC236}">
                <a16:creationId xmlns:a16="http://schemas.microsoft.com/office/drawing/2014/main" id="{00000000-0008-0000-0100-000040030000}"/>
              </a:ext>
            </a:extLst>
          </xdr:cNvPr>
          <xdr:cNvCxnSpPr/>
        </xdr:nvCxnSpPr>
        <xdr:spPr>
          <a:xfrm>
            <a:off x="5397500" y="7361296"/>
            <a:ext cx="4817" cy="1095286"/>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cxnSp macro="">
        <xdr:nvCxnSpPr>
          <xdr:cNvPr id="833" name="Straight Connector 832">
            <a:extLst>
              <a:ext uri="{FF2B5EF4-FFF2-40B4-BE49-F238E27FC236}">
                <a16:creationId xmlns:a16="http://schemas.microsoft.com/office/drawing/2014/main" id="{00000000-0008-0000-0100-000041030000}"/>
              </a:ext>
            </a:extLst>
          </xdr:cNvPr>
          <xdr:cNvCxnSpPr/>
        </xdr:nvCxnSpPr>
        <xdr:spPr>
          <a:xfrm>
            <a:off x="1893241" y="7278981"/>
            <a:ext cx="4207" cy="1223521"/>
          </a:xfrm>
          <a:prstGeom prst="line">
            <a:avLst/>
          </a:prstGeom>
          <a:ln w="19050">
            <a:solidFill>
              <a:srgbClr val="57A19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131</xdr:row>
      <xdr:rowOff>0</xdr:rowOff>
    </xdr:from>
    <xdr:to>
      <xdr:col>6</xdr:col>
      <xdr:colOff>471475</xdr:colOff>
      <xdr:row>133</xdr:row>
      <xdr:rowOff>95044</xdr:rowOff>
    </xdr:to>
    <xdr:sp macro="" textlink="">
      <xdr:nvSpPr>
        <xdr:cNvPr id="834" name="Rectangle 833">
          <a:extLst>
            <a:ext uri="{FF2B5EF4-FFF2-40B4-BE49-F238E27FC236}">
              <a16:creationId xmlns:a16="http://schemas.microsoft.com/office/drawing/2014/main" id="{00000000-0008-0000-0100-000042030000}"/>
            </a:ext>
          </a:extLst>
        </xdr:cNvPr>
        <xdr:cNvSpPr/>
      </xdr:nvSpPr>
      <xdr:spPr>
        <a:xfrm>
          <a:off x="8801100" y="24371300"/>
          <a:ext cx="1690675" cy="463344"/>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222174</xdr:colOff>
      <xdr:row>22</xdr:row>
      <xdr:rowOff>164221</xdr:rowOff>
    </xdr:from>
    <xdr:to>
      <xdr:col>3</xdr:col>
      <xdr:colOff>361293</xdr:colOff>
      <xdr:row>45</xdr:row>
      <xdr:rowOff>139369</xdr:rowOff>
    </xdr:to>
    <xdr:grpSp>
      <xdr:nvGrpSpPr>
        <xdr:cNvPr id="865" name="Group 864">
          <a:extLst>
            <a:ext uri="{FF2B5EF4-FFF2-40B4-BE49-F238E27FC236}">
              <a16:creationId xmlns:a16="http://schemas.microsoft.com/office/drawing/2014/main" id="{00000000-0008-0000-0100-000061030000}"/>
            </a:ext>
          </a:extLst>
        </xdr:cNvPr>
        <xdr:cNvGrpSpPr>
          <a:grpSpLocks/>
        </xdr:cNvGrpSpPr>
      </xdr:nvGrpSpPr>
      <xdr:grpSpPr>
        <a:xfrm>
          <a:off x="222174" y="4258876"/>
          <a:ext cx="5481878" cy="4343510"/>
          <a:chOff x="4615628" y="16240127"/>
          <a:chExt cx="5388081" cy="4124274"/>
        </a:xfrm>
      </xdr:grpSpPr>
      <xdr:sp macro="" textlink="">
        <xdr:nvSpPr>
          <xdr:cNvPr id="874" name="Rectangle 873">
            <a:extLst>
              <a:ext uri="{FF2B5EF4-FFF2-40B4-BE49-F238E27FC236}">
                <a16:creationId xmlns:a16="http://schemas.microsoft.com/office/drawing/2014/main" id="{00000000-0008-0000-0100-00006A030000}"/>
              </a:ext>
            </a:extLst>
          </xdr:cNvPr>
          <xdr:cNvSpPr/>
        </xdr:nvSpPr>
        <xdr:spPr>
          <a:xfrm rot="5400000">
            <a:off x="7149993" y="14653530"/>
            <a:ext cx="345724" cy="528996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75" name="Group 874">
            <a:extLst>
              <a:ext uri="{FF2B5EF4-FFF2-40B4-BE49-F238E27FC236}">
                <a16:creationId xmlns:a16="http://schemas.microsoft.com/office/drawing/2014/main" id="{00000000-0008-0000-0100-00006B030000}"/>
              </a:ext>
            </a:extLst>
          </xdr:cNvPr>
          <xdr:cNvGrpSpPr/>
        </xdr:nvGrpSpPr>
        <xdr:grpSpPr>
          <a:xfrm>
            <a:off x="4615628" y="16240127"/>
            <a:ext cx="5388081" cy="4124274"/>
            <a:chOff x="4615628" y="16240127"/>
            <a:chExt cx="5388081" cy="4124274"/>
          </a:xfrm>
        </xdr:grpSpPr>
        <xdr:sp macro="" textlink="">
          <xdr:nvSpPr>
            <xdr:cNvPr id="884" name="Rectangle: Rounded Corners 883">
              <a:extLst>
                <a:ext uri="{FF2B5EF4-FFF2-40B4-BE49-F238E27FC236}">
                  <a16:creationId xmlns:a16="http://schemas.microsoft.com/office/drawing/2014/main" id="{00000000-0008-0000-0100-00007403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885" name="Group 884">
              <a:extLst>
                <a:ext uri="{FF2B5EF4-FFF2-40B4-BE49-F238E27FC236}">
                  <a16:creationId xmlns:a16="http://schemas.microsoft.com/office/drawing/2014/main" id="{00000000-0008-0000-0100-000075030000}"/>
                </a:ext>
              </a:extLst>
            </xdr:cNvPr>
            <xdr:cNvGrpSpPr/>
          </xdr:nvGrpSpPr>
          <xdr:grpSpPr>
            <a:xfrm>
              <a:off x="4615628" y="16240127"/>
              <a:ext cx="5388081" cy="4124274"/>
              <a:chOff x="4615628" y="16240127"/>
              <a:chExt cx="5388081" cy="4124274"/>
            </a:xfrm>
          </xdr:grpSpPr>
          <xdr:sp macro="" textlink="">
            <xdr:nvSpPr>
              <xdr:cNvPr id="887" name="TextBox 886">
                <a:extLst>
                  <a:ext uri="{FF2B5EF4-FFF2-40B4-BE49-F238E27FC236}">
                    <a16:creationId xmlns:a16="http://schemas.microsoft.com/office/drawing/2014/main" id="{00000000-0008-0000-0100-000077030000}"/>
                  </a:ext>
                </a:extLst>
              </xdr:cNvPr>
              <xdr:cNvSpPr txBox="1"/>
            </xdr:nvSpPr>
            <xdr:spPr>
              <a:xfrm rot="10800000">
                <a:off x="4616917" y="20227251"/>
                <a:ext cx="5386535" cy="13715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888" name="TextBox 887">
                <a:extLst>
                  <a:ext uri="{FF2B5EF4-FFF2-40B4-BE49-F238E27FC236}">
                    <a16:creationId xmlns:a16="http://schemas.microsoft.com/office/drawing/2014/main" id="{00000000-0008-0000-0100-000078030000}"/>
                  </a:ext>
                </a:extLst>
              </xdr:cNvPr>
              <xdr:cNvSpPr txBox="1"/>
            </xdr:nvSpPr>
            <xdr:spPr>
              <a:xfrm rot="5400000">
                <a:off x="8351438" y="18654968"/>
                <a:ext cx="3206008" cy="95307"/>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889" name="TextBox 888">
                <a:extLst>
                  <a:ext uri="{FF2B5EF4-FFF2-40B4-BE49-F238E27FC236}">
                    <a16:creationId xmlns:a16="http://schemas.microsoft.com/office/drawing/2014/main" id="{00000000-0008-0000-0100-000079030000}"/>
                  </a:ext>
                </a:extLst>
              </xdr:cNvPr>
              <xdr:cNvSpPr txBox="1"/>
            </xdr:nvSpPr>
            <xdr:spPr>
              <a:xfrm>
                <a:off x="4615628" y="16240127"/>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1339" name="TextBox 1338">
                <a:extLst>
                  <a:ext uri="{FF2B5EF4-FFF2-40B4-BE49-F238E27FC236}">
                    <a16:creationId xmlns:a16="http://schemas.microsoft.com/office/drawing/2014/main" id="{00000000-0008-0000-0100-00003B050000}"/>
                  </a:ext>
                </a:extLst>
              </xdr:cNvPr>
              <xdr:cNvSpPr txBox="1"/>
            </xdr:nvSpPr>
            <xdr:spPr>
              <a:xfrm rot="5400000">
                <a:off x="3117059" y="18647388"/>
                <a:ext cx="3108040" cy="110463"/>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grpSp>
      </xdr:grpSp>
      <xdr:sp macro="" textlink="">
        <xdr:nvSpPr>
          <xdr:cNvPr id="878" name="Rectangle: Rounded Corners 877">
            <a:extLst>
              <a:ext uri="{FF2B5EF4-FFF2-40B4-BE49-F238E27FC236}">
                <a16:creationId xmlns:a16="http://schemas.microsoft.com/office/drawing/2014/main" id="{00000000-0008-0000-0100-00006E030000}"/>
              </a:ext>
            </a:extLst>
          </xdr:cNvPr>
          <xdr:cNvSpPr/>
        </xdr:nvSpPr>
        <xdr:spPr>
          <a:xfrm rot="5400000">
            <a:off x="7138771" y="15457095"/>
            <a:ext cx="353308" cy="2520175"/>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3</xdr:col>
      <xdr:colOff>1071648</xdr:colOff>
      <xdr:row>23</xdr:row>
      <xdr:rowOff>21896</xdr:rowOff>
    </xdr:from>
    <xdr:to>
      <xdr:col>7</xdr:col>
      <xdr:colOff>459828</xdr:colOff>
      <xdr:row>45</xdr:row>
      <xdr:rowOff>69191</xdr:rowOff>
    </xdr:to>
    <xdr:grpSp>
      <xdr:nvGrpSpPr>
        <xdr:cNvPr id="131" name="Group 130">
          <a:extLst>
            <a:ext uri="{FF2B5EF4-FFF2-40B4-BE49-F238E27FC236}">
              <a16:creationId xmlns:a16="http://schemas.microsoft.com/office/drawing/2014/main" id="{00000000-0008-0000-0100-000083000000}"/>
            </a:ext>
          </a:extLst>
        </xdr:cNvPr>
        <xdr:cNvGrpSpPr/>
      </xdr:nvGrpSpPr>
      <xdr:grpSpPr>
        <a:xfrm>
          <a:off x="6414407" y="4302672"/>
          <a:ext cx="4293007" cy="4229536"/>
          <a:chOff x="6414407" y="4171707"/>
          <a:chExt cx="5420679" cy="4360502"/>
        </a:xfrm>
      </xdr:grpSpPr>
      <xdr:sp macro="" textlink="">
        <xdr:nvSpPr>
          <xdr:cNvPr id="1355" name="Rectangle: Rounded Corners 1354">
            <a:extLst>
              <a:ext uri="{FF2B5EF4-FFF2-40B4-BE49-F238E27FC236}">
                <a16:creationId xmlns:a16="http://schemas.microsoft.com/office/drawing/2014/main" id="{00000000-0008-0000-0100-00004B050000}"/>
              </a:ext>
            </a:extLst>
          </xdr:cNvPr>
          <xdr:cNvSpPr/>
        </xdr:nvSpPr>
        <xdr:spPr>
          <a:xfrm>
            <a:off x="6503276" y="6783552"/>
            <a:ext cx="5263930" cy="160721"/>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47" name="Group 946">
            <a:extLst>
              <a:ext uri="{FF2B5EF4-FFF2-40B4-BE49-F238E27FC236}">
                <a16:creationId xmlns:a16="http://schemas.microsoft.com/office/drawing/2014/main" id="{00000000-0008-0000-0100-0000B3030000}"/>
              </a:ext>
            </a:extLst>
          </xdr:cNvPr>
          <xdr:cNvGrpSpPr/>
        </xdr:nvGrpSpPr>
        <xdr:grpSpPr>
          <a:xfrm>
            <a:off x="6414407" y="4171707"/>
            <a:ext cx="5420679" cy="4360502"/>
            <a:chOff x="6957191" y="4142117"/>
            <a:chExt cx="6140026" cy="4123049"/>
          </a:xfrm>
        </xdr:grpSpPr>
        <xdr:grpSp>
          <xdr:nvGrpSpPr>
            <xdr:cNvPr id="979" name="Group 978">
              <a:extLst>
                <a:ext uri="{FF2B5EF4-FFF2-40B4-BE49-F238E27FC236}">
                  <a16:creationId xmlns:a16="http://schemas.microsoft.com/office/drawing/2014/main" id="{00000000-0008-0000-0100-0000D3030000}"/>
                </a:ext>
              </a:extLst>
            </xdr:cNvPr>
            <xdr:cNvGrpSpPr>
              <a:grpSpLocks/>
            </xdr:cNvGrpSpPr>
          </xdr:nvGrpSpPr>
          <xdr:grpSpPr>
            <a:xfrm>
              <a:off x="6957191" y="4142117"/>
              <a:ext cx="6140026" cy="4123049"/>
              <a:chOff x="4615628" y="16271646"/>
              <a:chExt cx="5388081" cy="4132805"/>
            </a:xfrm>
          </xdr:grpSpPr>
          <xdr:sp macro="" textlink="">
            <xdr:nvSpPr>
              <xdr:cNvPr id="988" name="Rectangle 987">
                <a:extLst>
                  <a:ext uri="{FF2B5EF4-FFF2-40B4-BE49-F238E27FC236}">
                    <a16:creationId xmlns:a16="http://schemas.microsoft.com/office/drawing/2014/main" id="{00000000-0008-0000-0100-0000DC030000}"/>
                  </a:ext>
                </a:extLst>
              </xdr:cNvPr>
              <xdr:cNvSpPr/>
            </xdr:nvSpPr>
            <xdr:spPr>
              <a:xfrm rot="5400000">
                <a:off x="7224958" y="14721346"/>
                <a:ext cx="208122" cy="5277633"/>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89" name="Group 988">
                <a:extLst>
                  <a:ext uri="{FF2B5EF4-FFF2-40B4-BE49-F238E27FC236}">
                    <a16:creationId xmlns:a16="http://schemas.microsoft.com/office/drawing/2014/main" id="{00000000-0008-0000-0100-0000DD030000}"/>
                  </a:ext>
                </a:extLst>
              </xdr:cNvPr>
              <xdr:cNvGrpSpPr/>
            </xdr:nvGrpSpPr>
            <xdr:grpSpPr>
              <a:xfrm>
                <a:off x="4615628" y="16271646"/>
                <a:ext cx="5388081" cy="4132805"/>
                <a:chOff x="4615628" y="16271646"/>
                <a:chExt cx="5388081" cy="4132805"/>
              </a:xfrm>
            </xdr:grpSpPr>
            <xdr:sp macro="" textlink="">
              <xdr:nvSpPr>
                <xdr:cNvPr id="996" name="Rectangle: Rounded Corners 995">
                  <a:extLst>
                    <a:ext uri="{FF2B5EF4-FFF2-40B4-BE49-F238E27FC236}">
                      <a16:creationId xmlns:a16="http://schemas.microsoft.com/office/drawing/2014/main" id="{00000000-0008-0000-0100-0000E403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97" name="Group 996">
                  <a:extLst>
                    <a:ext uri="{FF2B5EF4-FFF2-40B4-BE49-F238E27FC236}">
                      <a16:creationId xmlns:a16="http://schemas.microsoft.com/office/drawing/2014/main" id="{00000000-0008-0000-0100-0000E5030000}"/>
                    </a:ext>
                  </a:extLst>
                </xdr:cNvPr>
                <xdr:cNvGrpSpPr/>
              </xdr:nvGrpSpPr>
              <xdr:grpSpPr>
                <a:xfrm>
                  <a:off x="4615628" y="16271646"/>
                  <a:ext cx="5388081" cy="4132805"/>
                  <a:chOff x="4615628" y="16271646"/>
                  <a:chExt cx="5388081" cy="4132805"/>
                </a:xfrm>
              </xdr:grpSpPr>
              <xdr:sp macro="" textlink="">
                <xdr:nvSpPr>
                  <xdr:cNvPr id="999" name="TextBox 998">
                    <a:extLst>
                      <a:ext uri="{FF2B5EF4-FFF2-40B4-BE49-F238E27FC236}">
                        <a16:creationId xmlns:a16="http://schemas.microsoft.com/office/drawing/2014/main" id="{00000000-0008-0000-0100-0000E7030000}"/>
                      </a:ext>
                    </a:extLst>
                  </xdr:cNvPr>
                  <xdr:cNvSpPr txBox="1"/>
                </xdr:nvSpPr>
                <xdr:spPr>
                  <a:xfrm rot="10800000">
                    <a:off x="4616918" y="20260438"/>
                    <a:ext cx="5386535" cy="144013"/>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1000" name="TextBox 999">
                    <a:extLst>
                      <a:ext uri="{FF2B5EF4-FFF2-40B4-BE49-F238E27FC236}">
                        <a16:creationId xmlns:a16="http://schemas.microsoft.com/office/drawing/2014/main" id="{00000000-0008-0000-0100-0000E8030000}"/>
                      </a:ext>
                    </a:extLst>
                  </xdr:cNvPr>
                  <xdr:cNvSpPr txBox="1"/>
                </xdr:nvSpPr>
                <xdr:spPr>
                  <a:xfrm rot="5400000">
                    <a:off x="8313419" y="18679775"/>
                    <a:ext cx="3268834" cy="108519"/>
                  </a:xfrm>
                  <a:prstGeom prst="round2SameRect">
                    <a:avLst>
                      <a:gd name="adj1" fmla="val 29602"/>
                      <a:gd name="adj2" fmla="val 0"/>
                    </a:avLst>
                  </a:prstGeom>
                  <a:solidFill>
                    <a:srgbClr val="57A197"/>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1001" name="TextBox 1000">
                    <a:extLst>
                      <a:ext uri="{FF2B5EF4-FFF2-40B4-BE49-F238E27FC236}">
                        <a16:creationId xmlns:a16="http://schemas.microsoft.com/office/drawing/2014/main" id="{00000000-0008-0000-0100-0000E9030000}"/>
                      </a:ext>
                    </a:extLst>
                  </xdr:cNvPr>
                  <xdr:cNvSpPr txBox="1"/>
                </xdr:nvSpPr>
                <xdr:spPr>
                  <a:xfrm>
                    <a:off x="4615628" y="16271646"/>
                    <a:ext cx="5388081" cy="935730"/>
                  </a:xfrm>
                  <a:prstGeom prst="round2SameRect">
                    <a:avLst>
                      <a:gd name="adj1" fmla="val 29602"/>
                      <a:gd name="adj2" fmla="val 0"/>
                    </a:avLst>
                  </a:prstGeom>
                  <a:solidFill>
                    <a:srgbClr val="57A197"/>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1002" name="Rectangle 1001">
                    <a:extLst>
                      <a:ext uri="{FF2B5EF4-FFF2-40B4-BE49-F238E27FC236}">
                        <a16:creationId xmlns:a16="http://schemas.microsoft.com/office/drawing/2014/main" id="{00000000-0008-0000-0100-0000EA030000}"/>
                      </a:ext>
                    </a:extLst>
                  </xdr:cNvPr>
                  <xdr:cNvSpPr/>
                </xdr:nvSpPr>
                <xdr:spPr>
                  <a:xfrm>
                    <a:off x="4617488" y="17116194"/>
                    <a:ext cx="128186" cy="3240255"/>
                  </a:xfrm>
                  <a:prstGeom prst="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grpSp>
        <xdr:sp macro="" textlink="">
          <xdr:nvSpPr>
            <xdr:cNvPr id="973" name="Rectangle: Rounded Corners 972">
              <a:extLst>
                <a:ext uri="{FF2B5EF4-FFF2-40B4-BE49-F238E27FC236}">
                  <a16:creationId xmlns:a16="http://schemas.microsoft.com/office/drawing/2014/main" id="{00000000-0008-0000-0100-0000CD030000}"/>
                </a:ext>
              </a:extLst>
            </xdr:cNvPr>
            <xdr:cNvSpPr/>
          </xdr:nvSpPr>
          <xdr:spPr>
            <a:xfrm>
              <a:off x="8494879" y="4360367"/>
              <a:ext cx="2896468" cy="420767"/>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mc:AlternateContent xmlns:mc="http://schemas.openxmlformats.org/markup-compatibility/2006">
    <mc:Choice xmlns:a14="http://schemas.microsoft.com/office/drawing/2010/main" Requires="a14">
      <xdr:twoCellAnchor editAs="oneCell">
        <xdr:from>
          <xdr:col>2</xdr:col>
          <xdr:colOff>1524000</xdr:colOff>
          <xdr:row>30</xdr:row>
          <xdr:rowOff>0</xdr:rowOff>
        </xdr:from>
        <xdr:to>
          <xdr:col>3</xdr:col>
          <xdr:colOff>215900</xdr:colOff>
          <xdr:row>44</xdr:row>
          <xdr:rowOff>76200</xdr:rowOff>
        </xdr:to>
        <xdr:sp macro="" textlink="">
          <xdr:nvSpPr>
            <xdr:cNvPr id="3085" name="Scroll Bar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1</xdr:col>
      <xdr:colOff>1370597</xdr:colOff>
      <xdr:row>24</xdr:row>
      <xdr:rowOff>125904</xdr:rowOff>
    </xdr:from>
    <xdr:ext cx="2473158" cy="311496"/>
    <xdr:sp macro="" textlink="">
      <xdr:nvSpPr>
        <xdr:cNvPr id="128" name="TextBox 127">
          <a:extLst>
            <a:ext uri="{FF2B5EF4-FFF2-40B4-BE49-F238E27FC236}">
              <a16:creationId xmlns:a16="http://schemas.microsoft.com/office/drawing/2014/main" id="{00000000-0008-0000-0100-000080000000}"/>
            </a:ext>
          </a:extLst>
        </xdr:cNvPr>
        <xdr:cNvSpPr txBox="1"/>
      </xdr:nvSpPr>
      <xdr:spPr>
        <a:xfrm>
          <a:off x="1983700" y="4592801"/>
          <a:ext cx="247315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400" b="1"/>
            <a:t>Group By Location</a:t>
          </a:r>
        </a:p>
      </xdr:txBody>
    </xdr:sp>
    <xdr:clientData/>
  </xdr:oneCellAnchor>
  <xdr:twoCellAnchor>
    <xdr:from>
      <xdr:col>11</xdr:col>
      <xdr:colOff>355600</xdr:colOff>
      <xdr:row>23</xdr:row>
      <xdr:rowOff>25400</xdr:rowOff>
    </xdr:from>
    <xdr:to>
      <xdr:col>19</xdr:col>
      <xdr:colOff>140912</xdr:colOff>
      <xdr:row>46</xdr:row>
      <xdr:rowOff>547</xdr:rowOff>
    </xdr:to>
    <xdr:grpSp>
      <xdr:nvGrpSpPr>
        <xdr:cNvPr id="1342" name="Group 1341">
          <a:extLst>
            <a:ext uri="{FF2B5EF4-FFF2-40B4-BE49-F238E27FC236}">
              <a16:creationId xmlns:a16="http://schemas.microsoft.com/office/drawing/2014/main" id="{00000000-0008-0000-0100-00003E050000}"/>
            </a:ext>
          </a:extLst>
        </xdr:cNvPr>
        <xdr:cNvGrpSpPr>
          <a:grpSpLocks/>
        </xdr:cNvGrpSpPr>
      </xdr:nvGrpSpPr>
      <xdr:grpSpPr>
        <a:xfrm>
          <a:off x="12453445" y="4306176"/>
          <a:ext cx="6321433" cy="4343509"/>
          <a:chOff x="4615628" y="16240128"/>
          <a:chExt cx="5388081" cy="4124273"/>
        </a:xfrm>
      </xdr:grpSpPr>
      <xdr:sp macro="" textlink="">
        <xdr:nvSpPr>
          <xdr:cNvPr id="1343" name="Rectangle 1342">
            <a:extLst>
              <a:ext uri="{FF2B5EF4-FFF2-40B4-BE49-F238E27FC236}">
                <a16:creationId xmlns:a16="http://schemas.microsoft.com/office/drawing/2014/main" id="{00000000-0008-0000-0100-00003F050000}"/>
              </a:ext>
            </a:extLst>
          </xdr:cNvPr>
          <xdr:cNvSpPr/>
        </xdr:nvSpPr>
        <xdr:spPr>
          <a:xfrm rot="5400000">
            <a:off x="7149993" y="14653529"/>
            <a:ext cx="345724" cy="528996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344" name="Group 1343">
            <a:extLst>
              <a:ext uri="{FF2B5EF4-FFF2-40B4-BE49-F238E27FC236}">
                <a16:creationId xmlns:a16="http://schemas.microsoft.com/office/drawing/2014/main" id="{00000000-0008-0000-0100-000040050000}"/>
              </a:ext>
            </a:extLst>
          </xdr:cNvPr>
          <xdr:cNvGrpSpPr/>
        </xdr:nvGrpSpPr>
        <xdr:grpSpPr>
          <a:xfrm>
            <a:off x="4615628" y="16240128"/>
            <a:ext cx="5388081" cy="4124273"/>
            <a:chOff x="4615628" y="16240128"/>
            <a:chExt cx="5388081" cy="4124273"/>
          </a:xfrm>
        </xdr:grpSpPr>
        <xdr:sp macro="" textlink="">
          <xdr:nvSpPr>
            <xdr:cNvPr id="1346" name="Rectangle: Rounded Corners 1345">
              <a:extLst>
                <a:ext uri="{FF2B5EF4-FFF2-40B4-BE49-F238E27FC236}">
                  <a16:creationId xmlns:a16="http://schemas.microsoft.com/office/drawing/2014/main" id="{00000000-0008-0000-0100-000042050000}"/>
                </a:ext>
              </a:extLst>
            </xdr:cNvPr>
            <xdr:cNvSpPr/>
          </xdr:nvSpPr>
          <xdr:spPr>
            <a:xfrm>
              <a:off x="4687818" y="17154563"/>
              <a:ext cx="5257870" cy="15244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347" name="Group 1346">
              <a:extLst>
                <a:ext uri="{FF2B5EF4-FFF2-40B4-BE49-F238E27FC236}">
                  <a16:creationId xmlns:a16="http://schemas.microsoft.com/office/drawing/2014/main" id="{00000000-0008-0000-0100-000043050000}"/>
                </a:ext>
              </a:extLst>
            </xdr:cNvPr>
            <xdr:cNvGrpSpPr/>
          </xdr:nvGrpSpPr>
          <xdr:grpSpPr>
            <a:xfrm>
              <a:off x="4615628" y="16240128"/>
              <a:ext cx="5388081" cy="4124273"/>
              <a:chOff x="4615628" y="16240128"/>
              <a:chExt cx="5388081" cy="4124273"/>
            </a:xfrm>
          </xdr:grpSpPr>
          <xdr:sp macro="" textlink="">
            <xdr:nvSpPr>
              <xdr:cNvPr id="1348" name="TextBox 1347">
                <a:extLst>
                  <a:ext uri="{FF2B5EF4-FFF2-40B4-BE49-F238E27FC236}">
                    <a16:creationId xmlns:a16="http://schemas.microsoft.com/office/drawing/2014/main" id="{00000000-0008-0000-0100-000044050000}"/>
                  </a:ext>
                </a:extLst>
              </xdr:cNvPr>
              <xdr:cNvSpPr txBox="1"/>
            </xdr:nvSpPr>
            <xdr:spPr>
              <a:xfrm rot="10800000">
                <a:off x="4616917" y="20227251"/>
                <a:ext cx="5386535" cy="137150"/>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1349" name="TextBox 1348">
                <a:extLst>
                  <a:ext uri="{FF2B5EF4-FFF2-40B4-BE49-F238E27FC236}">
                    <a16:creationId xmlns:a16="http://schemas.microsoft.com/office/drawing/2014/main" id="{00000000-0008-0000-0100-000045050000}"/>
                  </a:ext>
                </a:extLst>
              </xdr:cNvPr>
              <xdr:cNvSpPr txBox="1"/>
            </xdr:nvSpPr>
            <xdr:spPr>
              <a:xfrm rot="5400000">
                <a:off x="8351438" y="18654968"/>
                <a:ext cx="3206008" cy="95307"/>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1350" name="TextBox 1349">
                <a:extLst>
                  <a:ext uri="{FF2B5EF4-FFF2-40B4-BE49-F238E27FC236}">
                    <a16:creationId xmlns:a16="http://schemas.microsoft.com/office/drawing/2014/main" id="{00000000-0008-0000-0100-000046050000}"/>
                  </a:ext>
                </a:extLst>
              </xdr:cNvPr>
              <xdr:cNvSpPr txBox="1"/>
            </xdr:nvSpPr>
            <xdr:spPr>
              <a:xfrm>
                <a:off x="4615628" y="16240128"/>
                <a:ext cx="5388081" cy="935730"/>
              </a:xfrm>
              <a:prstGeom prst="round2SameRect">
                <a:avLst>
                  <a:gd name="adj1" fmla="val 29602"/>
                  <a:gd name="adj2" fmla="val 0"/>
                </a:avLst>
              </a:prstGeom>
              <a:solidFill>
                <a:srgbClr val="5F5490"/>
              </a:solidFill>
              <a:effectLst>
                <a:outerShdw blurRad="50800" dist="38100" dir="16200000"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sp macro="" textlink="">
            <xdr:nvSpPr>
              <xdr:cNvPr id="1351" name="TextBox 1350">
                <a:extLst>
                  <a:ext uri="{FF2B5EF4-FFF2-40B4-BE49-F238E27FC236}">
                    <a16:creationId xmlns:a16="http://schemas.microsoft.com/office/drawing/2014/main" id="{00000000-0008-0000-0100-000047050000}"/>
                  </a:ext>
                </a:extLst>
              </xdr:cNvPr>
              <xdr:cNvSpPr txBox="1"/>
            </xdr:nvSpPr>
            <xdr:spPr>
              <a:xfrm rot="5400000">
                <a:off x="3117059" y="18647388"/>
                <a:ext cx="3108040" cy="110463"/>
              </a:xfrm>
              <a:prstGeom prst="round2SameRect">
                <a:avLst>
                  <a:gd name="adj1" fmla="val 29602"/>
                  <a:gd name="adj2" fmla="val 0"/>
                </a:avLst>
              </a:prstGeom>
              <a:solidFill>
                <a:srgbClr val="5F5490"/>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endParaRPr lang="en-IN" sz="4000" b="1" kern="0" spc="500" normalizeH="0" baseline="0">
                  <a:solidFill>
                    <a:srgbClr val="312B57"/>
                  </a:solidFill>
                  <a:latin typeface="Abadi" panose="020B0604020104020204" pitchFamily="34" charset="0"/>
                  <a:ea typeface="Calibri" panose="020F0502020204030204" pitchFamily="34" charset="0"/>
                  <a:cs typeface="Calibri" panose="020F0502020204030204" pitchFamily="34" charset="0"/>
                </a:endParaRPr>
              </a:p>
            </xdr:txBody>
          </xdr:sp>
        </xdr:grpSp>
      </xdr:grpSp>
      <xdr:sp macro="" textlink="">
        <xdr:nvSpPr>
          <xdr:cNvPr id="1345" name="Rectangle: Rounded Corners 1344">
            <a:extLst>
              <a:ext uri="{FF2B5EF4-FFF2-40B4-BE49-F238E27FC236}">
                <a16:creationId xmlns:a16="http://schemas.microsoft.com/office/drawing/2014/main" id="{00000000-0008-0000-0100-000041050000}"/>
              </a:ext>
            </a:extLst>
          </xdr:cNvPr>
          <xdr:cNvSpPr/>
        </xdr:nvSpPr>
        <xdr:spPr>
          <a:xfrm rot="5400000">
            <a:off x="7085206" y="15408956"/>
            <a:ext cx="353308" cy="2520175"/>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oneCellAnchor>
    <xdr:from>
      <xdr:col>5</xdr:col>
      <xdr:colOff>10948</xdr:colOff>
      <xdr:row>24</xdr:row>
      <xdr:rowOff>103351</xdr:rowOff>
    </xdr:from>
    <xdr:ext cx="2473158" cy="311496"/>
    <xdr:sp macro="" textlink="">
      <xdr:nvSpPr>
        <xdr:cNvPr id="1353" name="TextBox 1352">
          <a:extLst>
            <a:ext uri="{FF2B5EF4-FFF2-40B4-BE49-F238E27FC236}">
              <a16:creationId xmlns:a16="http://schemas.microsoft.com/office/drawing/2014/main" id="{00000000-0008-0000-0100-000049050000}"/>
            </a:ext>
          </a:extLst>
        </xdr:cNvPr>
        <xdr:cNvSpPr txBox="1"/>
      </xdr:nvSpPr>
      <xdr:spPr>
        <a:xfrm>
          <a:off x="7598103" y="4570248"/>
          <a:ext cx="247315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400" b="1"/>
            <a:t>Group By Education</a:t>
          </a:r>
        </a:p>
      </xdr:txBody>
    </xdr:sp>
    <xdr:clientData/>
  </xdr:oneCellAnchor>
  <mc:AlternateContent xmlns:mc="http://schemas.openxmlformats.org/markup-compatibility/2006">
    <mc:Choice xmlns:a14="http://schemas.microsoft.com/office/drawing/2010/main" Requires="a14">
      <xdr:twoCellAnchor editAs="oneCell">
        <xdr:from>
          <xdr:col>6</xdr:col>
          <xdr:colOff>1435100</xdr:colOff>
          <xdr:row>29</xdr:row>
          <xdr:rowOff>184150</xdr:rowOff>
        </xdr:from>
        <xdr:to>
          <xdr:col>7</xdr:col>
          <xdr:colOff>215900</xdr:colOff>
          <xdr:row>36</xdr:row>
          <xdr:rowOff>12700</xdr:rowOff>
        </xdr:to>
        <xdr:sp macro="" textlink="">
          <xdr:nvSpPr>
            <xdr:cNvPr id="3086" name="Scroll Bar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184150</xdr:rowOff>
        </xdr:from>
        <xdr:to>
          <xdr:col>7</xdr:col>
          <xdr:colOff>215900</xdr:colOff>
          <xdr:row>44</xdr:row>
          <xdr:rowOff>88900</xdr:rowOff>
        </xdr:to>
        <xdr:sp macro="" textlink="">
          <xdr:nvSpPr>
            <xdr:cNvPr id="3087" name="Scroll Bar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0</xdr:colOff>
      <xdr:row>4</xdr:row>
      <xdr:rowOff>87583</xdr:rowOff>
    </xdr:from>
    <xdr:to>
      <xdr:col>22</xdr:col>
      <xdr:colOff>317500</xdr:colOff>
      <xdr:row>21</xdr:row>
      <xdr:rowOff>153275</xdr:rowOff>
    </xdr:to>
    <xdr:grpSp>
      <xdr:nvGrpSpPr>
        <xdr:cNvPr id="502" name="Group 501">
          <a:extLst>
            <a:ext uri="{FF2B5EF4-FFF2-40B4-BE49-F238E27FC236}">
              <a16:creationId xmlns:a16="http://schemas.microsoft.com/office/drawing/2014/main" id="{00000000-0008-0000-0100-0000F6010000}"/>
            </a:ext>
          </a:extLst>
        </xdr:cNvPr>
        <xdr:cNvGrpSpPr/>
      </xdr:nvGrpSpPr>
      <xdr:grpSpPr>
        <a:xfrm>
          <a:off x="0" y="832066"/>
          <a:ext cx="20210517" cy="3229743"/>
          <a:chOff x="7382" y="751818"/>
          <a:chExt cx="20280821" cy="3228103"/>
        </a:xfrm>
      </xdr:grpSpPr>
      <xdr:grpSp>
        <xdr:nvGrpSpPr>
          <xdr:cNvPr id="503" name="Group 502">
            <a:extLst>
              <a:ext uri="{FF2B5EF4-FFF2-40B4-BE49-F238E27FC236}">
                <a16:creationId xmlns:a16="http://schemas.microsoft.com/office/drawing/2014/main" id="{00000000-0008-0000-0100-0000F7010000}"/>
              </a:ext>
            </a:extLst>
          </xdr:cNvPr>
          <xdr:cNvGrpSpPr/>
        </xdr:nvGrpSpPr>
        <xdr:grpSpPr>
          <a:xfrm>
            <a:off x="7382" y="751818"/>
            <a:ext cx="20280821" cy="3228103"/>
            <a:chOff x="7381" y="751817"/>
            <a:chExt cx="20280815" cy="3228102"/>
          </a:xfrm>
        </xdr:grpSpPr>
        <xdr:grpSp>
          <xdr:nvGrpSpPr>
            <xdr:cNvPr id="507" name="Group 506">
              <a:extLst>
                <a:ext uri="{FF2B5EF4-FFF2-40B4-BE49-F238E27FC236}">
                  <a16:creationId xmlns:a16="http://schemas.microsoft.com/office/drawing/2014/main" id="{00000000-0008-0000-0100-0000FB010000}"/>
                </a:ext>
              </a:extLst>
            </xdr:cNvPr>
            <xdr:cNvGrpSpPr/>
          </xdr:nvGrpSpPr>
          <xdr:grpSpPr>
            <a:xfrm>
              <a:off x="7381" y="751817"/>
              <a:ext cx="20280815" cy="3228102"/>
              <a:chOff x="7381" y="751817"/>
              <a:chExt cx="20280819" cy="3228104"/>
            </a:xfrm>
          </xdr:grpSpPr>
          <xdr:grpSp>
            <xdr:nvGrpSpPr>
              <xdr:cNvPr id="516" name="Group 515">
                <a:extLst>
                  <a:ext uri="{FF2B5EF4-FFF2-40B4-BE49-F238E27FC236}">
                    <a16:creationId xmlns:a16="http://schemas.microsoft.com/office/drawing/2014/main" id="{00000000-0008-0000-0100-000004020000}"/>
                  </a:ext>
                </a:extLst>
              </xdr:cNvPr>
              <xdr:cNvGrpSpPr/>
            </xdr:nvGrpSpPr>
            <xdr:grpSpPr>
              <a:xfrm>
                <a:off x="7381" y="751817"/>
                <a:ext cx="20280819" cy="3228104"/>
                <a:chOff x="7381" y="751817"/>
                <a:chExt cx="20280815" cy="3228102"/>
              </a:xfrm>
            </xdr:grpSpPr>
            <xdr:grpSp>
              <xdr:nvGrpSpPr>
                <xdr:cNvPr id="519" name="Group 518">
                  <a:extLst>
                    <a:ext uri="{FF2B5EF4-FFF2-40B4-BE49-F238E27FC236}">
                      <a16:creationId xmlns:a16="http://schemas.microsoft.com/office/drawing/2014/main" id="{00000000-0008-0000-0100-000007020000}"/>
                    </a:ext>
                  </a:extLst>
                </xdr:cNvPr>
                <xdr:cNvGrpSpPr/>
              </xdr:nvGrpSpPr>
              <xdr:grpSpPr>
                <a:xfrm>
                  <a:off x="7381" y="751817"/>
                  <a:ext cx="20280815" cy="3228102"/>
                  <a:chOff x="7381" y="751817"/>
                  <a:chExt cx="20280817" cy="3228102"/>
                </a:xfrm>
              </xdr:grpSpPr>
              <xdr:grpSp>
                <xdr:nvGrpSpPr>
                  <xdr:cNvPr id="557" name="Group 556">
                    <a:extLst>
                      <a:ext uri="{FF2B5EF4-FFF2-40B4-BE49-F238E27FC236}">
                        <a16:creationId xmlns:a16="http://schemas.microsoft.com/office/drawing/2014/main" id="{00000000-0008-0000-0100-00002D020000}"/>
                      </a:ext>
                    </a:extLst>
                  </xdr:cNvPr>
                  <xdr:cNvGrpSpPr/>
                </xdr:nvGrpSpPr>
                <xdr:grpSpPr>
                  <a:xfrm>
                    <a:off x="7381" y="751817"/>
                    <a:ext cx="20280817" cy="3228102"/>
                    <a:chOff x="7381" y="751817"/>
                    <a:chExt cx="20280815" cy="3228104"/>
                  </a:xfrm>
                </xdr:grpSpPr>
                <xdr:grpSp>
                  <xdr:nvGrpSpPr>
                    <xdr:cNvPr id="559" name="Group 558">
                      <a:extLst>
                        <a:ext uri="{FF2B5EF4-FFF2-40B4-BE49-F238E27FC236}">
                          <a16:creationId xmlns:a16="http://schemas.microsoft.com/office/drawing/2014/main" id="{00000000-0008-0000-0100-00002F020000}"/>
                        </a:ext>
                      </a:extLst>
                    </xdr:cNvPr>
                    <xdr:cNvGrpSpPr/>
                  </xdr:nvGrpSpPr>
                  <xdr:grpSpPr>
                    <a:xfrm>
                      <a:off x="7381" y="751817"/>
                      <a:ext cx="20280815" cy="3228104"/>
                      <a:chOff x="7381" y="751817"/>
                      <a:chExt cx="20280815" cy="3228102"/>
                    </a:xfrm>
                  </xdr:grpSpPr>
                  <xdr:sp macro="" textlink="">
                    <xdr:nvSpPr>
                      <xdr:cNvPr id="636" name="Rectangle 635">
                        <a:extLst>
                          <a:ext uri="{FF2B5EF4-FFF2-40B4-BE49-F238E27FC236}">
                            <a16:creationId xmlns:a16="http://schemas.microsoft.com/office/drawing/2014/main" id="{00000000-0008-0000-0100-00007C020000}"/>
                          </a:ext>
                        </a:extLst>
                      </xdr:cNvPr>
                      <xdr:cNvSpPr/>
                    </xdr:nvSpPr>
                    <xdr:spPr>
                      <a:xfrm>
                        <a:off x="7381" y="751817"/>
                        <a:ext cx="1654846" cy="47429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37" name="Group 636">
                        <a:extLst>
                          <a:ext uri="{FF2B5EF4-FFF2-40B4-BE49-F238E27FC236}">
                            <a16:creationId xmlns:a16="http://schemas.microsoft.com/office/drawing/2014/main" id="{00000000-0008-0000-0100-00007D020000}"/>
                          </a:ext>
                        </a:extLst>
                      </xdr:cNvPr>
                      <xdr:cNvGrpSpPr/>
                    </xdr:nvGrpSpPr>
                    <xdr:grpSpPr>
                      <a:xfrm>
                        <a:off x="18143" y="851807"/>
                        <a:ext cx="20270053" cy="3128112"/>
                        <a:chOff x="18143" y="851807"/>
                        <a:chExt cx="20270053" cy="3128112"/>
                      </a:xfrm>
                    </xdr:grpSpPr>
                    <xdr:sp macro="" textlink="">
                      <xdr:nvSpPr>
                        <xdr:cNvPr id="638" name="Rectangle: Rounded Corners 637">
                          <a:extLst>
                            <a:ext uri="{FF2B5EF4-FFF2-40B4-BE49-F238E27FC236}">
                              <a16:creationId xmlns:a16="http://schemas.microsoft.com/office/drawing/2014/main" id="{00000000-0008-0000-0100-00007E020000}"/>
                            </a:ext>
                          </a:extLst>
                        </xdr:cNvPr>
                        <xdr:cNvSpPr/>
                      </xdr:nvSpPr>
                      <xdr:spPr>
                        <a:xfrm>
                          <a:off x="18143" y="851807"/>
                          <a:ext cx="20270053" cy="3128112"/>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39" name="Group 638">
                          <a:extLst>
                            <a:ext uri="{FF2B5EF4-FFF2-40B4-BE49-F238E27FC236}">
                              <a16:creationId xmlns:a16="http://schemas.microsoft.com/office/drawing/2014/main" id="{00000000-0008-0000-0100-00007F020000}"/>
                            </a:ext>
                          </a:extLst>
                        </xdr:cNvPr>
                        <xdr:cNvGrpSpPr/>
                      </xdr:nvGrpSpPr>
                      <xdr:grpSpPr>
                        <a:xfrm>
                          <a:off x="16159657" y="877079"/>
                          <a:ext cx="3280185" cy="368249"/>
                          <a:chOff x="16159657" y="877079"/>
                          <a:chExt cx="3280185" cy="368249"/>
                        </a:xfrm>
                      </xdr:grpSpPr>
                      <xdr:grpSp>
                        <xdr:nvGrpSpPr>
                          <xdr:cNvPr id="640" name="Group 639">
                            <a:extLst>
                              <a:ext uri="{FF2B5EF4-FFF2-40B4-BE49-F238E27FC236}">
                                <a16:creationId xmlns:a16="http://schemas.microsoft.com/office/drawing/2014/main" id="{00000000-0008-0000-0100-000080020000}"/>
                              </a:ext>
                            </a:extLst>
                          </xdr:cNvPr>
                          <xdr:cNvGrpSpPr/>
                        </xdr:nvGrpSpPr>
                        <xdr:grpSpPr>
                          <a:xfrm>
                            <a:off x="16159657" y="877079"/>
                            <a:ext cx="1378746" cy="363625"/>
                            <a:chOff x="16159657" y="877079"/>
                            <a:chExt cx="1378746" cy="363625"/>
                          </a:xfrm>
                        </xdr:grpSpPr>
                        <xdr:sp macro="" textlink="">
                          <xdr:nvSpPr>
                            <xdr:cNvPr id="644" name="Rectangle: Rounded Corners 643">
                              <a:extLst>
                                <a:ext uri="{FF2B5EF4-FFF2-40B4-BE49-F238E27FC236}">
                                  <a16:creationId xmlns:a16="http://schemas.microsoft.com/office/drawing/2014/main" id="{00000000-0008-0000-0100-000084020000}"/>
                                </a:ext>
                              </a:extLst>
                            </xdr:cNvPr>
                            <xdr:cNvSpPr/>
                          </xdr:nvSpPr>
                          <xdr:spPr>
                            <a:xfrm rot="16200000">
                              <a:off x="16687231" y="375034"/>
                              <a:ext cx="323598" cy="1378746"/>
                            </a:xfrm>
                            <a:prstGeom prst="round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45" name="TextBox 644">
                              <a:extLst>
                                <a:ext uri="{FF2B5EF4-FFF2-40B4-BE49-F238E27FC236}">
                                  <a16:creationId xmlns:a16="http://schemas.microsoft.com/office/drawing/2014/main" id="{00000000-0008-0000-0100-000085020000}"/>
                                </a:ext>
                              </a:extLst>
                            </xdr:cNvPr>
                            <xdr:cNvSpPr txBox="1"/>
                          </xdr:nvSpPr>
                          <xdr:spPr>
                            <a:xfrm>
                              <a:off x="16283733" y="877079"/>
                              <a:ext cx="1244455" cy="363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800" b="0" i="1">
                                  <a:solidFill>
                                    <a:schemeClr val="bg1"/>
                                  </a:solidFill>
                                  <a:latin typeface="Abadi" panose="020B0604020104020204" pitchFamily="34" charset="0"/>
                                  <a:ea typeface="+mn-ea"/>
                                  <a:cs typeface="+mn-cs"/>
                                </a:rPr>
                                <a:t>Accounts</a:t>
                              </a:r>
                            </a:p>
                          </xdr:txBody>
                        </xdr:sp>
                      </xdr:grpSp>
                      <xdr:grpSp>
                        <xdr:nvGrpSpPr>
                          <xdr:cNvPr id="641" name="Group 640">
                            <a:extLst>
                              <a:ext uri="{FF2B5EF4-FFF2-40B4-BE49-F238E27FC236}">
                                <a16:creationId xmlns:a16="http://schemas.microsoft.com/office/drawing/2014/main" id="{00000000-0008-0000-0100-000081020000}"/>
                              </a:ext>
                            </a:extLst>
                          </xdr:cNvPr>
                          <xdr:cNvGrpSpPr/>
                        </xdr:nvGrpSpPr>
                        <xdr:grpSpPr>
                          <a:xfrm>
                            <a:off x="17716554" y="881703"/>
                            <a:ext cx="1723288" cy="363625"/>
                            <a:chOff x="17716554" y="881703"/>
                            <a:chExt cx="1723288" cy="363625"/>
                          </a:xfrm>
                        </xdr:grpSpPr>
                        <xdr:sp macro="" textlink="">
                          <xdr:nvSpPr>
                            <xdr:cNvPr id="642" name="Rectangle: Rounded Corners 641">
                              <a:extLst>
                                <a:ext uri="{FF2B5EF4-FFF2-40B4-BE49-F238E27FC236}">
                                  <a16:creationId xmlns:a16="http://schemas.microsoft.com/office/drawing/2014/main" id="{00000000-0008-0000-0100-000082020000}"/>
                                </a:ext>
                              </a:extLst>
                            </xdr:cNvPr>
                            <xdr:cNvSpPr/>
                          </xdr:nvSpPr>
                          <xdr:spPr>
                            <a:xfrm rot="16200000">
                              <a:off x="18340422" y="306675"/>
                              <a:ext cx="322946" cy="1490349"/>
                            </a:xfrm>
                            <a:prstGeom prst="roundRect">
                              <a:avLst/>
                            </a:prstGeom>
                            <a:solidFill>
                              <a:srgbClr val="9ECAC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43" name="TextBox 642">
                              <a:hlinkClick xmlns:r="http://schemas.openxmlformats.org/officeDocument/2006/relationships" r:id="rId3"/>
                              <a:extLst>
                                <a:ext uri="{FF2B5EF4-FFF2-40B4-BE49-F238E27FC236}">
                                  <a16:creationId xmlns:a16="http://schemas.microsoft.com/office/drawing/2014/main" id="{00000000-0008-0000-0100-000083020000}"/>
                                </a:ext>
                              </a:extLst>
                            </xdr:cNvPr>
                            <xdr:cNvSpPr txBox="1"/>
                          </xdr:nvSpPr>
                          <xdr:spPr>
                            <a:xfrm>
                              <a:off x="17716554" y="881703"/>
                              <a:ext cx="1723288" cy="363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800" b="0" i="1">
                                  <a:solidFill>
                                    <a:srgbClr val="002060"/>
                                  </a:solidFill>
                                  <a:latin typeface="Abadi" panose="020B0604020104020204" pitchFamily="34" charset="0"/>
                                  <a:ea typeface="+mn-ea"/>
                                  <a:cs typeface="+mn-cs"/>
                                </a:rPr>
                                <a:t>Miscellaneous</a:t>
                              </a:r>
                            </a:p>
                          </xdr:txBody>
                        </xdr:sp>
                      </xdr:grpSp>
                    </xdr:grpSp>
                  </xdr:grpSp>
                </xdr:grpSp>
                <xdr:grpSp>
                  <xdr:nvGrpSpPr>
                    <xdr:cNvPr id="560" name="Group 559">
                      <a:extLst>
                        <a:ext uri="{FF2B5EF4-FFF2-40B4-BE49-F238E27FC236}">
                          <a16:creationId xmlns:a16="http://schemas.microsoft.com/office/drawing/2014/main" id="{00000000-0008-0000-0100-000030020000}"/>
                        </a:ext>
                      </a:extLst>
                    </xdr:cNvPr>
                    <xdr:cNvGrpSpPr/>
                  </xdr:nvGrpSpPr>
                  <xdr:grpSpPr>
                    <a:xfrm>
                      <a:off x="448879" y="3103777"/>
                      <a:ext cx="19551651" cy="596752"/>
                      <a:chOff x="448879" y="3103777"/>
                      <a:chExt cx="19551651" cy="596752"/>
                    </a:xfrm>
                  </xdr:grpSpPr>
                  <xdr:grpSp>
                    <xdr:nvGrpSpPr>
                      <xdr:cNvPr id="561" name="Group 560">
                        <a:extLst>
                          <a:ext uri="{FF2B5EF4-FFF2-40B4-BE49-F238E27FC236}">
                            <a16:creationId xmlns:a16="http://schemas.microsoft.com/office/drawing/2014/main" id="{00000000-0008-0000-0100-000031020000}"/>
                          </a:ext>
                        </a:extLst>
                      </xdr:cNvPr>
                      <xdr:cNvGrpSpPr/>
                    </xdr:nvGrpSpPr>
                    <xdr:grpSpPr>
                      <a:xfrm>
                        <a:off x="448879" y="3103787"/>
                        <a:ext cx="1335690" cy="596742"/>
                        <a:chOff x="1904632" y="3827779"/>
                        <a:chExt cx="1131908" cy="672129"/>
                      </a:xfrm>
                    </xdr:grpSpPr>
                    <xdr:grpSp>
                      <xdr:nvGrpSpPr>
                        <xdr:cNvPr id="630" name="Group 629">
                          <a:extLst>
                            <a:ext uri="{FF2B5EF4-FFF2-40B4-BE49-F238E27FC236}">
                              <a16:creationId xmlns:a16="http://schemas.microsoft.com/office/drawing/2014/main" id="{00000000-0008-0000-0100-000076020000}"/>
                            </a:ext>
                          </a:extLst>
                        </xdr:cNvPr>
                        <xdr:cNvGrpSpPr/>
                      </xdr:nvGrpSpPr>
                      <xdr:grpSpPr>
                        <a:xfrm>
                          <a:off x="1914452" y="3827779"/>
                          <a:ext cx="1008711" cy="672129"/>
                          <a:chOff x="511370" y="3869258"/>
                          <a:chExt cx="1729377" cy="900865"/>
                        </a:xfrm>
                      </xdr:grpSpPr>
                      <xdr:grpSp>
                        <xdr:nvGrpSpPr>
                          <xdr:cNvPr id="632" name="Group 631">
                            <a:extLst>
                              <a:ext uri="{FF2B5EF4-FFF2-40B4-BE49-F238E27FC236}">
                                <a16:creationId xmlns:a16="http://schemas.microsoft.com/office/drawing/2014/main" id="{00000000-0008-0000-0100-000078020000}"/>
                              </a:ext>
                            </a:extLst>
                          </xdr:cNvPr>
                          <xdr:cNvGrpSpPr/>
                        </xdr:nvGrpSpPr>
                        <xdr:grpSpPr>
                          <a:xfrm>
                            <a:off x="571054" y="3871684"/>
                            <a:ext cx="1669693" cy="897133"/>
                            <a:chOff x="571054" y="3871684"/>
                            <a:chExt cx="2489243" cy="897133"/>
                          </a:xfrm>
                        </xdr:grpSpPr>
                        <xdr:sp macro="" textlink="">
                          <xdr:nvSpPr>
                            <xdr:cNvPr id="634" name="Rectangle: Rounded Corners 633">
                              <a:extLst>
                                <a:ext uri="{FF2B5EF4-FFF2-40B4-BE49-F238E27FC236}">
                                  <a16:creationId xmlns:a16="http://schemas.microsoft.com/office/drawing/2014/main" id="{00000000-0008-0000-0100-00007A020000}"/>
                                </a:ext>
                              </a:extLst>
                            </xdr:cNvPr>
                            <xdr:cNvSpPr/>
                          </xdr:nvSpPr>
                          <xdr:spPr>
                            <a:xfrm>
                              <a:off x="571054" y="3871684"/>
                              <a:ext cx="2489243" cy="897133"/>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35" name="Rectangle: Top Corners Rounded 634">
                              <a:extLst>
                                <a:ext uri="{FF2B5EF4-FFF2-40B4-BE49-F238E27FC236}">
                                  <a16:creationId xmlns:a16="http://schemas.microsoft.com/office/drawing/2014/main" id="{00000000-0008-0000-0100-00007B020000}"/>
                                </a:ext>
                              </a:extLst>
                            </xdr:cNvPr>
                            <xdr:cNvSpPr/>
                          </xdr:nvSpPr>
                          <xdr:spPr>
                            <a:xfrm rot="5400000">
                              <a:off x="1447757" y="3151728"/>
                              <a:ext cx="794166" cy="2355490"/>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33" name="Rectangle: Top Corners Rounded 632">
                            <a:extLst>
                              <a:ext uri="{FF2B5EF4-FFF2-40B4-BE49-F238E27FC236}">
                                <a16:creationId xmlns:a16="http://schemas.microsoft.com/office/drawing/2014/main" id="{00000000-0008-0000-0100-000079020000}"/>
                              </a:ext>
                            </a:extLst>
                          </xdr:cNvPr>
                          <xdr:cNvSpPr/>
                        </xdr:nvSpPr>
                        <xdr:spPr>
                          <a:xfrm rot="16200000">
                            <a:off x="158681" y="4221947"/>
                            <a:ext cx="900865" cy="195488"/>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31" name="TextBox 630">
                          <a:hlinkClick xmlns:r="http://schemas.openxmlformats.org/officeDocument/2006/relationships" r:id="rId4"/>
                          <a:extLst>
                            <a:ext uri="{FF2B5EF4-FFF2-40B4-BE49-F238E27FC236}">
                              <a16:creationId xmlns:a16="http://schemas.microsoft.com/office/drawing/2014/main" id="{00000000-0008-0000-0100-000077020000}"/>
                            </a:ext>
                          </a:extLst>
                        </xdr:cNvPr>
                        <xdr:cNvSpPr txBox="1"/>
                      </xdr:nvSpPr>
                      <xdr:spPr>
                        <a:xfrm>
                          <a:off x="1904632" y="3907994"/>
                          <a:ext cx="1131908" cy="505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800" b="1" spc="300" baseline="0">
                              <a:solidFill>
                                <a:srgbClr val="312B57"/>
                              </a:solidFill>
                              <a:latin typeface="Comic Sans MS" panose="030F0702030302020204" pitchFamily="66" charset="0"/>
                            </a:rPr>
                            <a:t>Pre-KG</a:t>
                          </a:r>
                        </a:p>
                      </xdr:txBody>
                    </xdr:sp>
                  </xdr:grpSp>
                  <xdr:grpSp>
                    <xdr:nvGrpSpPr>
                      <xdr:cNvPr id="562" name="Group 561">
                        <a:extLst>
                          <a:ext uri="{FF2B5EF4-FFF2-40B4-BE49-F238E27FC236}">
                            <a16:creationId xmlns:a16="http://schemas.microsoft.com/office/drawing/2014/main" id="{00000000-0008-0000-0100-000032020000}"/>
                          </a:ext>
                        </a:extLst>
                      </xdr:cNvPr>
                      <xdr:cNvGrpSpPr/>
                    </xdr:nvGrpSpPr>
                    <xdr:grpSpPr>
                      <a:xfrm>
                        <a:off x="2106113" y="3104662"/>
                        <a:ext cx="1187632" cy="595073"/>
                        <a:chOff x="4283346" y="3895854"/>
                        <a:chExt cx="1010249" cy="683622"/>
                      </a:xfrm>
                    </xdr:grpSpPr>
                    <xdr:grpSp>
                      <xdr:nvGrpSpPr>
                        <xdr:cNvPr id="625" name="Group 624">
                          <a:extLst>
                            <a:ext uri="{FF2B5EF4-FFF2-40B4-BE49-F238E27FC236}">
                              <a16:creationId xmlns:a16="http://schemas.microsoft.com/office/drawing/2014/main" id="{00000000-0008-0000-0100-000071020000}"/>
                            </a:ext>
                          </a:extLst>
                        </xdr:cNvPr>
                        <xdr:cNvGrpSpPr/>
                      </xdr:nvGrpSpPr>
                      <xdr:grpSpPr>
                        <a:xfrm>
                          <a:off x="4283346" y="3895854"/>
                          <a:ext cx="1008177" cy="683622"/>
                          <a:chOff x="3898283" y="3869677"/>
                          <a:chExt cx="2567978" cy="900097"/>
                        </a:xfrm>
                      </xdr:grpSpPr>
                      <xdr:sp macro="" textlink="">
                        <xdr:nvSpPr>
                          <xdr:cNvPr id="627" name="Rectangle: Rounded Corners 626">
                            <a:extLst>
                              <a:ext uri="{FF2B5EF4-FFF2-40B4-BE49-F238E27FC236}">
                                <a16:creationId xmlns:a16="http://schemas.microsoft.com/office/drawing/2014/main" id="{00000000-0008-0000-0100-000073020000}"/>
                              </a:ext>
                            </a:extLst>
                          </xdr:cNvPr>
                          <xdr:cNvSpPr/>
                        </xdr:nvSpPr>
                        <xdr:spPr>
                          <a:xfrm>
                            <a:off x="3958412" y="3872099"/>
                            <a:ext cx="2507849" cy="893516"/>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8" name="Rectangle: Top Corners Rounded 627">
                            <a:extLst>
                              <a:ext uri="{FF2B5EF4-FFF2-40B4-BE49-F238E27FC236}">
                                <a16:creationId xmlns:a16="http://schemas.microsoft.com/office/drawing/2014/main" id="{00000000-0008-0000-0100-000074020000}"/>
                              </a:ext>
                            </a:extLst>
                          </xdr:cNvPr>
                          <xdr:cNvSpPr/>
                        </xdr:nvSpPr>
                        <xdr:spPr>
                          <a:xfrm rot="5400000">
                            <a:off x="4844973" y="3142967"/>
                            <a:ext cx="793491" cy="2373097"/>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9" name="Rectangle: Top Corners Rounded 628">
                            <a:extLst>
                              <a:ext uri="{FF2B5EF4-FFF2-40B4-BE49-F238E27FC236}">
                                <a16:creationId xmlns:a16="http://schemas.microsoft.com/office/drawing/2014/main" id="{00000000-0008-0000-0100-000075020000}"/>
                              </a:ext>
                            </a:extLst>
                          </xdr:cNvPr>
                          <xdr:cNvSpPr/>
                        </xdr:nvSpPr>
                        <xdr:spPr>
                          <a:xfrm rot="16200000">
                            <a:off x="3546709" y="4221251"/>
                            <a:ext cx="900097" cy="196949"/>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26" name="TextBox 625">
                          <a:hlinkClick xmlns:r="http://schemas.openxmlformats.org/officeDocument/2006/relationships" r:id="rId4"/>
                          <a:extLst>
                            <a:ext uri="{FF2B5EF4-FFF2-40B4-BE49-F238E27FC236}">
                              <a16:creationId xmlns:a16="http://schemas.microsoft.com/office/drawing/2014/main" id="{00000000-0008-0000-0100-000072020000}"/>
                            </a:ext>
                          </a:extLst>
                        </xdr:cNvPr>
                        <xdr:cNvSpPr txBox="1"/>
                      </xdr:nvSpPr>
                      <xdr:spPr>
                        <a:xfrm>
                          <a:off x="4388142" y="3976142"/>
                          <a:ext cx="905453" cy="516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LKG</a:t>
                          </a:r>
                        </a:p>
                      </xdr:txBody>
                    </xdr:sp>
                  </xdr:grpSp>
                  <xdr:grpSp>
                    <xdr:nvGrpSpPr>
                      <xdr:cNvPr id="563" name="Group 562">
                        <a:extLst>
                          <a:ext uri="{FF2B5EF4-FFF2-40B4-BE49-F238E27FC236}">
                            <a16:creationId xmlns:a16="http://schemas.microsoft.com/office/drawing/2014/main" id="{00000000-0008-0000-0100-000033020000}"/>
                          </a:ext>
                        </a:extLst>
                      </xdr:cNvPr>
                      <xdr:cNvGrpSpPr/>
                    </xdr:nvGrpSpPr>
                    <xdr:grpSpPr>
                      <a:xfrm>
                        <a:off x="3615289" y="3104935"/>
                        <a:ext cx="1188965" cy="594169"/>
                        <a:chOff x="7320017" y="5130605"/>
                        <a:chExt cx="2533432" cy="900491"/>
                      </a:xfrm>
                    </xdr:grpSpPr>
                    <xdr:sp macro="" textlink="">
                      <xdr:nvSpPr>
                        <xdr:cNvPr id="622" name="Rectangle: Rounded Corners 621">
                          <a:extLst>
                            <a:ext uri="{FF2B5EF4-FFF2-40B4-BE49-F238E27FC236}">
                              <a16:creationId xmlns:a16="http://schemas.microsoft.com/office/drawing/2014/main" id="{00000000-0008-0000-0100-00006E020000}"/>
                            </a:ext>
                          </a:extLst>
                        </xdr:cNvPr>
                        <xdr:cNvSpPr/>
                      </xdr:nvSpPr>
                      <xdr:spPr>
                        <a:xfrm>
                          <a:off x="7379338" y="5133026"/>
                          <a:ext cx="2474111" cy="89765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3" name="Rectangle: Top Corners Rounded 622">
                          <a:extLst>
                            <a:ext uri="{FF2B5EF4-FFF2-40B4-BE49-F238E27FC236}">
                              <a16:creationId xmlns:a16="http://schemas.microsoft.com/office/drawing/2014/main" id="{00000000-0008-0000-0100-00006F020000}"/>
                            </a:ext>
                          </a:extLst>
                        </xdr:cNvPr>
                        <xdr:cNvSpPr/>
                      </xdr:nvSpPr>
                      <xdr:spPr>
                        <a:xfrm rot="5400000">
                          <a:off x="8248461" y="4420054"/>
                          <a:ext cx="793837" cy="2341174"/>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4" name="Rectangle: Top Corners Rounded 623">
                          <a:extLst>
                            <a:ext uri="{FF2B5EF4-FFF2-40B4-BE49-F238E27FC236}">
                              <a16:creationId xmlns:a16="http://schemas.microsoft.com/office/drawing/2014/main" id="{00000000-0008-0000-0100-000070020000}"/>
                            </a:ext>
                          </a:extLst>
                        </xdr:cNvPr>
                        <xdr:cNvSpPr/>
                      </xdr:nvSpPr>
                      <xdr:spPr>
                        <a:xfrm rot="16200000">
                          <a:off x="6966921" y="5483701"/>
                          <a:ext cx="900491" cy="194299"/>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564" name="Group 563">
                        <a:extLst>
                          <a:ext uri="{FF2B5EF4-FFF2-40B4-BE49-F238E27FC236}">
                            <a16:creationId xmlns:a16="http://schemas.microsoft.com/office/drawing/2014/main" id="{00000000-0008-0000-0100-000034020000}"/>
                          </a:ext>
                        </a:extLst>
                      </xdr:cNvPr>
                      <xdr:cNvGrpSpPr/>
                    </xdr:nvGrpSpPr>
                    <xdr:grpSpPr>
                      <a:xfrm>
                        <a:off x="5125798" y="3104688"/>
                        <a:ext cx="1200612" cy="594979"/>
                        <a:chOff x="6943509" y="3895907"/>
                        <a:chExt cx="1007844" cy="683516"/>
                      </a:xfrm>
                    </xdr:grpSpPr>
                    <xdr:grpSp>
                      <xdr:nvGrpSpPr>
                        <xdr:cNvPr id="617" name="Group 616">
                          <a:extLst>
                            <a:ext uri="{FF2B5EF4-FFF2-40B4-BE49-F238E27FC236}">
                              <a16:creationId xmlns:a16="http://schemas.microsoft.com/office/drawing/2014/main" id="{00000000-0008-0000-0100-000069020000}"/>
                            </a:ext>
                          </a:extLst>
                        </xdr:cNvPr>
                        <xdr:cNvGrpSpPr/>
                      </xdr:nvGrpSpPr>
                      <xdr:grpSpPr>
                        <a:xfrm>
                          <a:off x="6943509" y="3895907"/>
                          <a:ext cx="1007844" cy="683516"/>
                          <a:chOff x="7305984" y="3871230"/>
                          <a:chExt cx="2544327" cy="897254"/>
                        </a:xfrm>
                      </xdr:grpSpPr>
                      <xdr:sp macro="" textlink="">
                        <xdr:nvSpPr>
                          <xdr:cNvPr id="619" name="Rectangle: Rounded Corners 618">
                            <a:extLst>
                              <a:ext uri="{FF2B5EF4-FFF2-40B4-BE49-F238E27FC236}">
                                <a16:creationId xmlns:a16="http://schemas.microsoft.com/office/drawing/2014/main" id="{00000000-0008-0000-0100-00006B020000}"/>
                              </a:ext>
                            </a:extLst>
                          </xdr:cNvPr>
                          <xdr:cNvSpPr/>
                        </xdr:nvSpPr>
                        <xdr:spPr>
                          <a:xfrm>
                            <a:off x="7365560" y="3873646"/>
                            <a:ext cx="2484751" cy="89465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0" name="Rectangle: Top Corners Rounded 619">
                            <a:extLst>
                              <a:ext uri="{FF2B5EF4-FFF2-40B4-BE49-F238E27FC236}">
                                <a16:creationId xmlns:a16="http://schemas.microsoft.com/office/drawing/2014/main" id="{00000000-0008-0000-0100-00006C020000}"/>
                              </a:ext>
                            </a:extLst>
                          </xdr:cNvPr>
                          <xdr:cNvSpPr/>
                        </xdr:nvSpPr>
                        <xdr:spPr>
                          <a:xfrm rot="5400000">
                            <a:off x="8133027" y="3141316"/>
                            <a:ext cx="790985" cy="2351240"/>
                          </a:xfrm>
                          <a:prstGeom prst="round2SameRect">
                            <a:avLst>
                              <a:gd name="adj1" fmla="val 5075"/>
                              <a:gd name="adj2" fmla="val 0"/>
                            </a:avLst>
                          </a:prstGeom>
                          <a:solidFill>
                            <a:srgbClr val="F2F055">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1" name="Rectangle: Top Corners Rounded 620">
                            <a:extLst>
                              <a:ext uri="{FF2B5EF4-FFF2-40B4-BE49-F238E27FC236}">
                                <a16:creationId xmlns:a16="http://schemas.microsoft.com/office/drawing/2014/main" id="{00000000-0008-0000-0100-00006D020000}"/>
                              </a:ext>
                            </a:extLst>
                          </xdr:cNvPr>
                          <xdr:cNvSpPr/>
                        </xdr:nvSpPr>
                        <xdr:spPr>
                          <a:xfrm rot="16200000">
                            <a:off x="6954925" y="4222289"/>
                            <a:ext cx="897254" cy="195135"/>
                          </a:xfrm>
                          <a:prstGeom prst="round2SameRect">
                            <a:avLst/>
                          </a:prstGeom>
                          <a:solidFill>
                            <a:srgbClr val="F2F055"/>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18" name="TextBox 617">
                          <a:hlinkClick xmlns:r="http://schemas.openxmlformats.org/officeDocument/2006/relationships" r:id="rId5"/>
                          <a:extLst>
                            <a:ext uri="{FF2B5EF4-FFF2-40B4-BE49-F238E27FC236}">
                              <a16:creationId xmlns:a16="http://schemas.microsoft.com/office/drawing/2014/main" id="{00000000-0008-0000-0100-00006A020000}"/>
                            </a:ext>
                          </a:extLst>
                        </xdr:cNvPr>
                        <xdr:cNvSpPr txBox="1"/>
                      </xdr:nvSpPr>
                      <xdr:spPr>
                        <a:xfrm>
                          <a:off x="7020423" y="3976141"/>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a:t>
                          </a:r>
                        </a:p>
                      </xdr:txBody>
                    </xdr:sp>
                  </xdr:grpSp>
                  <xdr:grpSp>
                    <xdr:nvGrpSpPr>
                      <xdr:cNvPr id="565" name="Group 564">
                        <a:extLst>
                          <a:ext uri="{FF2B5EF4-FFF2-40B4-BE49-F238E27FC236}">
                            <a16:creationId xmlns:a16="http://schemas.microsoft.com/office/drawing/2014/main" id="{00000000-0008-0000-0100-000035020000}"/>
                          </a:ext>
                        </a:extLst>
                      </xdr:cNvPr>
                      <xdr:cNvGrpSpPr/>
                    </xdr:nvGrpSpPr>
                    <xdr:grpSpPr>
                      <a:xfrm>
                        <a:off x="6647954" y="3104688"/>
                        <a:ext cx="1190879" cy="594979"/>
                        <a:chOff x="8274286" y="3895907"/>
                        <a:chExt cx="1007840" cy="683516"/>
                      </a:xfrm>
                    </xdr:grpSpPr>
                    <xdr:grpSp>
                      <xdr:nvGrpSpPr>
                        <xdr:cNvPr id="612" name="Group 611">
                          <a:extLst>
                            <a:ext uri="{FF2B5EF4-FFF2-40B4-BE49-F238E27FC236}">
                              <a16:creationId xmlns:a16="http://schemas.microsoft.com/office/drawing/2014/main" id="{00000000-0008-0000-0100-000064020000}"/>
                            </a:ext>
                          </a:extLst>
                        </xdr:cNvPr>
                        <xdr:cNvGrpSpPr/>
                      </xdr:nvGrpSpPr>
                      <xdr:grpSpPr>
                        <a:xfrm>
                          <a:off x="8274286" y="3895907"/>
                          <a:ext cx="1007840" cy="683516"/>
                          <a:chOff x="10687874" y="3873419"/>
                          <a:chExt cx="2544797" cy="893239"/>
                        </a:xfrm>
                      </xdr:grpSpPr>
                      <xdr:sp macro="" textlink="">
                        <xdr:nvSpPr>
                          <xdr:cNvPr id="614" name="Rectangle: Rounded Corners 613">
                            <a:extLst>
                              <a:ext uri="{FF2B5EF4-FFF2-40B4-BE49-F238E27FC236}">
                                <a16:creationId xmlns:a16="http://schemas.microsoft.com/office/drawing/2014/main" id="{00000000-0008-0000-0100-000066020000}"/>
                              </a:ext>
                            </a:extLst>
                          </xdr:cNvPr>
                          <xdr:cNvSpPr/>
                        </xdr:nvSpPr>
                        <xdr:spPr>
                          <a:xfrm>
                            <a:off x="10747460" y="3875824"/>
                            <a:ext cx="2485211" cy="888999"/>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5" name="Rectangle: Top Corners Rounded 614">
                            <a:extLst>
                              <a:ext uri="{FF2B5EF4-FFF2-40B4-BE49-F238E27FC236}">
                                <a16:creationId xmlns:a16="http://schemas.microsoft.com/office/drawing/2014/main" id="{00000000-0008-0000-0100-000067020000}"/>
                              </a:ext>
                            </a:extLst>
                          </xdr:cNvPr>
                          <xdr:cNvSpPr/>
                        </xdr:nvSpPr>
                        <xdr:spPr>
                          <a:xfrm rot="5400000">
                            <a:off x="11625460" y="3153916"/>
                            <a:ext cx="787445" cy="2351675"/>
                          </a:xfrm>
                          <a:prstGeom prst="round2SameRect">
                            <a:avLst>
                              <a:gd name="adj1" fmla="val 5075"/>
                              <a:gd name="adj2" fmla="val 0"/>
                            </a:avLst>
                          </a:prstGeom>
                          <a:solidFill>
                            <a:srgbClr val="F2828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6" name="Rectangle: Top Corners Rounded 615">
                            <a:extLst>
                              <a:ext uri="{FF2B5EF4-FFF2-40B4-BE49-F238E27FC236}">
                                <a16:creationId xmlns:a16="http://schemas.microsoft.com/office/drawing/2014/main" id="{00000000-0008-0000-0100-000068020000}"/>
                              </a:ext>
                            </a:extLst>
                          </xdr:cNvPr>
                          <xdr:cNvSpPr/>
                        </xdr:nvSpPr>
                        <xdr:spPr>
                          <a:xfrm rot="16200000">
                            <a:off x="10338840" y="4222453"/>
                            <a:ext cx="893239" cy="195171"/>
                          </a:xfrm>
                          <a:prstGeom prst="round2SameRect">
                            <a:avLst/>
                          </a:prstGeom>
                          <a:solidFill>
                            <a:srgbClr val="F2828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13" name="TextBox 612">
                          <a:hlinkClick xmlns:r="http://schemas.openxmlformats.org/officeDocument/2006/relationships" r:id="rId5"/>
                          <a:extLst>
                            <a:ext uri="{FF2B5EF4-FFF2-40B4-BE49-F238E27FC236}">
                              <a16:creationId xmlns:a16="http://schemas.microsoft.com/office/drawing/2014/main" id="{00000000-0008-0000-0100-000065020000}"/>
                            </a:ext>
                          </a:extLst>
                        </xdr:cNvPr>
                        <xdr:cNvSpPr txBox="1"/>
                      </xdr:nvSpPr>
                      <xdr:spPr>
                        <a:xfrm>
                          <a:off x="8343897" y="3976141"/>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II</a:t>
                          </a:r>
                        </a:p>
                      </xdr:txBody>
                    </xdr:sp>
                  </xdr:grpSp>
                  <xdr:grpSp>
                    <xdr:nvGrpSpPr>
                      <xdr:cNvPr id="566" name="Group 565">
                        <a:extLst>
                          <a:ext uri="{FF2B5EF4-FFF2-40B4-BE49-F238E27FC236}">
                            <a16:creationId xmlns:a16="http://schemas.microsoft.com/office/drawing/2014/main" id="{00000000-0008-0000-0100-000036020000}"/>
                          </a:ext>
                        </a:extLst>
                      </xdr:cNvPr>
                      <xdr:cNvGrpSpPr/>
                    </xdr:nvGrpSpPr>
                    <xdr:grpSpPr>
                      <a:xfrm>
                        <a:off x="8160377" y="3104688"/>
                        <a:ext cx="1244296" cy="594979"/>
                        <a:chOff x="10833757" y="3895907"/>
                        <a:chExt cx="1053063" cy="683516"/>
                      </a:xfrm>
                    </xdr:grpSpPr>
                    <xdr:grpSp>
                      <xdr:nvGrpSpPr>
                        <xdr:cNvPr id="606" name="Group 605">
                          <a:extLst>
                            <a:ext uri="{FF2B5EF4-FFF2-40B4-BE49-F238E27FC236}">
                              <a16:creationId xmlns:a16="http://schemas.microsoft.com/office/drawing/2014/main" id="{00000000-0008-0000-0100-00005E020000}"/>
                            </a:ext>
                          </a:extLst>
                        </xdr:cNvPr>
                        <xdr:cNvGrpSpPr/>
                      </xdr:nvGrpSpPr>
                      <xdr:grpSpPr>
                        <a:xfrm>
                          <a:off x="10833757" y="3895907"/>
                          <a:ext cx="1010385" cy="683516"/>
                          <a:chOff x="511370" y="3869258"/>
                          <a:chExt cx="1729377" cy="900865"/>
                        </a:xfrm>
                      </xdr:grpSpPr>
                      <xdr:grpSp>
                        <xdr:nvGrpSpPr>
                          <xdr:cNvPr id="608" name="Group 607">
                            <a:extLst>
                              <a:ext uri="{FF2B5EF4-FFF2-40B4-BE49-F238E27FC236}">
                                <a16:creationId xmlns:a16="http://schemas.microsoft.com/office/drawing/2014/main" id="{00000000-0008-0000-0100-000060020000}"/>
                              </a:ext>
                            </a:extLst>
                          </xdr:cNvPr>
                          <xdr:cNvGrpSpPr/>
                        </xdr:nvGrpSpPr>
                        <xdr:grpSpPr>
                          <a:xfrm>
                            <a:off x="571054" y="3871684"/>
                            <a:ext cx="1669693" cy="897133"/>
                            <a:chOff x="571054" y="3871684"/>
                            <a:chExt cx="2489243" cy="897133"/>
                          </a:xfrm>
                        </xdr:grpSpPr>
                        <xdr:sp macro="" textlink="">
                          <xdr:nvSpPr>
                            <xdr:cNvPr id="610" name="Rectangle: Rounded Corners 609">
                              <a:extLst>
                                <a:ext uri="{FF2B5EF4-FFF2-40B4-BE49-F238E27FC236}">
                                  <a16:creationId xmlns:a16="http://schemas.microsoft.com/office/drawing/2014/main" id="{00000000-0008-0000-0100-000062020000}"/>
                                </a:ext>
                              </a:extLst>
                            </xdr:cNvPr>
                            <xdr:cNvSpPr/>
                          </xdr:nvSpPr>
                          <xdr:spPr>
                            <a:xfrm>
                              <a:off x="571054" y="3871684"/>
                              <a:ext cx="2489243" cy="897133"/>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11" name="Rectangle: Top Corners Rounded 610">
                              <a:extLst>
                                <a:ext uri="{FF2B5EF4-FFF2-40B4-BE49-F238E27FC236}">
                                  <a16:creationId xmlns:a16="http://schemas.microsoft.com/office/drawing/2014/main" id="{00000000-0008-0000-0100-000063020000}"/>
                                </a:ext>
                              </a:extLst>
                            </xdr:cNvPr>
                            <xdr:cNvSpPr/>
                          </xdr:nvSpPr>
                          <xdr:spPr>
                            <a:xfrm rot="5400000">
                              <a:off x="1447755" y="3151743"/>
                              <a:ext cx="794168" cy="2355491"/>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09" name="Rectangle: Top Corners Rounded 608">
                            <a:extLst>
                              <a:ext uri="{FF2B5EF4-FFF2-40B4-BE49-F238E27FC236}">
                                <a16:creationId xmlns:a16="http://schemas.microsoft.com/office/drawing/2014/main" id="{00000000-0008-0000-0100-000061020000}"/>
                              </a:ext>
                            </a:extLst>
                          </xdr:cNvPr>
                          <xdr:cNvSpPr/>
                        </xdr:nvSpPr>
                        <xdr:spPr>
                          <a:xfrm rot="16200000">
                            <a:off x="158681" y="4221947"/>
                            <a:ext cx="900865" cy="195488"/>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07" name="TextBox 606">
                          <a:hlinkClick xmlns:r="http://schemas.openxmlformats.org/officeDocument/2006/relationships" r:id="rId5"/>
                          <a:extLst>
                            <a:ext uri="{FF2B5EF4-FFF2-40B4-BE49-F238E27FC236}">
                              <a16:creationId xmlns:a16="http://schemas.microsoft.com/office/drawing/2014/main" id="{00000000-0008-0000-0100-00005F020000}"/>
                            </a:ext>
                          </a:extLst>
                        </xdr:cNvPr>
                        <xdr:cNvSpPr txBox="1"/>
                      </xdr:nvSpPr>
                      <xdr:spPr>
                        <a:xfrm>
                          <a:off x="10981367" y="3976141"/>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III</a:t>
                          </a:r>
                        </a:p>
                      </xdr:txBody>
                    </xdr:sp>
                  </xdr:grpSp>
                  <xdr:grpSp>
                    <xdr:nvGrpSpPr>
                      <xdr:cNvPr id="567" name="Group 566">
                        <a:extLst>
                          <a:ext uri="{FF2B5EF4-FFF2-40B4-BE49-F238E27FC236}">
                            <a16:creationId xmlns:a16="http://schemas.microsoft.com/office/drawing/2014/main" id="{00000000-0008-0000-0100-000037020000}"/>
                          </a:ext>
                        </a:extLst>
                      </xdr:cNvPr>
                      <xdr:cNvGrpSpPr/>
                    </xdr:nvGrpSpPr>
                    <xdr:grpSpPr>
                      <a:xfrm>
                        <a:off x="9726217" y="3104661"/>
                        <a:ext cx="1182679" cy="595073"/>
                        <a:chOff x="499935" y="5179042"/>
                        <a:chExt cx="1000669" cy="683622"/>
                      </a:xfrm>
                    </xdr:grpSpPr>
                    <xdr:grpSp>
                      <xdr:nvGrpSpPr>
                        <xdr:cNvPr id="601" name="Group 600">
                          <a:extLst>
                            <a:ext uri="{FF2B5EF4-FFF2-40B4-BE49-F238E27FC236}">
                              <a16:creationId xmlns:a16="http://schemas.microsoft.com/office/drawing/2014/main" id="{00000000-0008-0000-0100-000059020000}"/>
                            </a:ext>
                          </a:extLst>
                        </xdr:cNvPr>
                        <xdr:cNvGrpSpPr/>
                      </xdr:nvGrpSpPr>
                      <xdr:grpSpPr>
                        <a:xfrm>
                          <a:off x="499935" y="5179042"/>
                          <a:ext cx="1000669" cy="683622"/>
                          <a:chOff x="3898283" y="3869677"/>
                          <a:chExt cx="2567978" cy="900097"/>
                        </a:xfrm>
                      </xdr:grpSpPr>
                      <xdr:sp macro="" textlink="">
                        <xdr:nvSpPr>
                          <xdr:cNvPr id="603" name="Rectangle: Rounded Corners 602">
                            <a:extLst>
                              <a:ext uri="{FF2B5EF4-FFF2-40B4-BE49-F238E27FC236}">
                                <a16:creationId xmlns:a16="http://schemas.microsoft.com/office/drawing/2014/main" id="{00000000-0008-0000-0100-00005B020000}"/>
                              </a:ext>
                            </a:extLst>
                          </xdr:cNvPr>
                          <xdr:cNvSpPr/>
                        </xdr:nvSpPr>
                        <xdr:spPr>
                          <a:xfrm>
                            <a:off x="3958412" y="3872101"/>
                            <a:ext cx="2507849" cy="89351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4" name="Rectangle: Top Corners Rounded 603">
                            <a:extLst>
                              <a:ext uri="{FF2B5EF4-FFF2-40B4-BE49-F238E27FC236}">
                                <a16:creationId xmlns:a16="http://schemas.microsoft.com/office/drawing/2014/main" id="{00000000-0008-0000-0100-00005C020000}"/>
                              </a:ext>
                            </a:extLst>
                          </xdr:cNvPr>
                          <xdr:cNvSpPr/>
                        </xdr:nvSpPr>
                        <xdr:spPr>
                          <a:xfrm rot="5400000">
                            <a:off x="4844973" y="3142967"/>
                            <a:ext cx="793491" cy="2373097"/>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5" name="Rectangle: Top Corners Rounded 604">
                            <a:extLst>
                              <a:ext uri="{FF2B5EF4-FFF2-40B4-BE49-F238E27FC236}">
                                <a16:creationId xmlns:a16="http://schemas.microsoft.com/office/drawing/2014/main" id="{00000000-0008-0000-0100-00005D020000}"/>
                              </a:ext>
                            </a:extLst>
                          </xdr:cNvPr>
                          <xdr:cNvSpPr/>
                        </xdr:nvSpPr>
                        <xdr:spPr>
                          <a:xfrm rot="16200000">
                            <a:off x="3546709" y="4221251"/>
                            <a:ext cx="900097" cy="196949"/>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02" name="TextBox 601">
                          <a:hlinkClick xmlns:r="http://schemas.openxmlformats.org/officeDocument/2006/relationships" r:id="rId6"/>
                          <a:extLst>
                            <a:ext uri="{FF2B5EF4-FFF2-40B4-BE49-F238E27FC236}">
                              <a16:creationId xmlns:a16="http://schemas.microsoft.com/office/drawing/2014/main" id="{00000000-0008-0000-0100-00005A020000}"/>
                            </a:ext>
                          </a:extLst>
                        </xdr:cNvPr>
                        <xdr:cNvSpPr txBox="1"/>
                      </xdr:nvSpPr>
                      <xdr:spPr>
                        <a:xfrm>
                          <a:off x="592009" y="5274205"/>
                          <a:ext cx="905453" cy="5166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IV</a:t>
                          </a:r>
                        </a:p>
                      </xdr:txBody>
                    </xdr:sp>
                  </xdr:grpSp>
                  <xdr:grpSp>
                    <xdr:nvGrpSpPr>
                      <xdr:cNvPr id="568" name="Group 567">
                        <a:extLst>
                          <a:ext uri="{FF2B5EF4-FFF2-40B4-BE49-F238E27FC236}">
                            <a16:creationId xmlns:a16="http://schemas.microsoft.com/office/drawing/2014/main" id="{00000000-0008-0000-0100-000038020000}"/>
                          </a:ext>
                        </a:extLst>
                      </xdr:cNvPr>
                      <xdr:cNvGrpSpPr/>
                    </xdr:nvGrpSpPr>
                    <xdr:grpSpPr>
                      <a:xfrm>
                        <a:off x="11230440" y="3104931"/>
                        <a:ext cx="1188757" cy="594168"/>
                        <a:chOff x="1823537" y="5179556"/>
                        <a:chExt cx="1015025" cy="682595"/>
                      </a:xfrm>
                    </xdr:grpSpPr>
                    <xdr:grpSp>
                      <xdr:nvGrpSpPr>
                        <xdr:cNvPr id="596" name="Group 595">
                          <a:extLst>
                            <a:ext uri="{FF2B5EF4-FFF2-40B4-BE49-F238E27FC236}">
                              <a16:creationId xmlns:a16="http://schemas.microsoft.com/office/drawing/2014/main" id="{00000000-0008-0000-0100-000054020000}"/>
                            </a:ext>
                          </a:extLst>
                        </xdr:cNvPr>
                        <xdr:cNvGrpSpPr/>
                      </xdr:nvGrpSpPr>
                      <xdr:grpSpPr>
                        <a:xfrm>
                          <a:off x="1823537" y="5179556"/>
                          <a:ext cx="1015025" cy="682595"/>
                          <a:chOff x="7320017" y="5130605"/>
                          <a:chExt cx="2533432" cy="900491"/>
                        </a:xfrm>
                      </xdr:grpSpPr>
                      <xdr:sp macro="" textlink="">
                        <xdr:nvSpPr>
                          <xdr:cNvPr id="598" name="Rectangle: Rounded Corners 597">
                            <a:extLst>
                              <a:ext uri="{FF2B5EF4-FFF2-40B4-BE49-F238E27FC236}">
                                <a16:creationId xmlns:a16="http://schemas.microsoft.com/office/drawing/2014/main" id="{00000000-0008-0000-0100-000056020000}"/>
                              </a:ext>
                            </a:extLst>
                          </xdr:cNvPr>
                          <xdr:cNvSpPr/>
                        </xdr:nvSpPr>
                        <xdr:spPr>
                          <a:xfrm>
                            <a:off x="7379338" y="5133026"/>
                            <a:ext cx="2474111" cy="89765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99" name="Rectangle: Top Corners Rounded 598">
                            <a:extLst>
                              <a:ext uri="{FF2B5EF4-FFF2-40B4-BE49-F238E27FC236}">
                                <a16:creationId xmlns:a16="http://schemas.microsoft.com/office/drawing/2014/main" id="{00000000-0008-0000-0100-000057020000}"/>
                              </a:ext>
                            </a:extLst>
                          </xdr:cNvPr>
                          <xdr:cNvSpPr/>
                        </xdr:nvSpPr>
                        <xdr:spPr>
                          <a:xfrm rot="5400000">
                            <a:off x="8248461" y="4420061"/>
                            <a:ext cx="793839" cy="2341173"/>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0" name="Rectangle: Top Corners Rounded 599">
                            <a:extLst>
                              <a:ext uri="{FF2B5EF4-FFF2-40B4-BE49-F238E27FC236}">
                                <a16:creationId xmlns:a16="http://schemas.microsoft.com/office/drawing/2014/main" id="{00000000-0008-0000-0100-000058020000}"/>
                              </a:ext>
                            </a:extLst>
                          </xdr:cNvPr>
                          <xdr:cNvSpPr/>
                        </xdr:nvSpPr>
                        <xdr:spPr>
                          <a:xfrm rot="16200000">
                            <a:off x="6966921" y="5483701"/>
                            <a:ext cx="900491" cy="194299"/>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97" name="TextBox 596">
                          <a:hlinkClick xmlns:r="http://schemas.openxmlformats.org/officeDocument/2006/relationships" r:id="rId6"/>
                          <a:extLst>
                            <a:ext uri="{FF2B5EF4-FFF2-40B4-BE49-F238E27FC236}">
                              <a16:creationId xmlns:a16="http://schemas.microsoft.com/office/drawing/2014/main" id="{00000000-0008-0000-0100-000055020000}"/>
                            </a:ext>
                          </a:extLst>
                        </xdr:cNvPr>
                        <xdr:cNvSpPr txBox="1"/>
                      </xdr:nvSpPr>
                      <xdr:spPr>
                        <a:xfrm>
                          <a:off x="1924961" y="5255245"/>
                          <a:ext cx="905453" cy="5166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a:t>
                          </a:r>
                        </a:p>
                      </xdr:txBody>
                    </xdr:sp>
                  </xdr:grpSp>
                  <xdr:grpSp>
                    <xdr:nvGrpSpPr>
                      <xdr:cNvPr id="569" name="Group 568">
                        <a:extLst>
                          <a:ext uri="{FF2B5EF4-FFF2-40B4-BE49-F238E27FC236}">
                            <a16:creationId xmlns:a16="http://schemas.microsoft.com/office/drawing/2014/main" id="{00000000-0008-0000-0100-000039020000}"/>
                          </a:ext>
                        </a:extLst>
                      </xdr:cNvPr>
                      <xdr:cNvGrpSpPr/>
                    </xdr:nvGrpSpPr>
                    <xdr:grpSpPr>
                      <a:xfrm>
                        <a:off x="12740741" y="3104688"/>
                        <a:ext cx="1188954" cy="594979"/>
                        <a:chOff x="3162892" y="5179095"/>
                        <a:chExt cx="1004152" cy="683516"/>
                      </a:xfrm>
                    </xdr:grpSpPr>
                    <xdr:grpSp>
                      <xdr:nvGrpSpPr>
                        <xdr:cNvPr id="591" name="Group 590">
                          <a:extLst>
                            <a:ext uri="{FF2B5EF4-FFF2-40B4-BE49-F238E27FC236}">
                              <a16:creationId xmlns:a16="http://schemas.microsoft.com/office/drawing/2014/main" id="{00000000-0008-0000-0100-00004F020000}"/>
                            </a:ext>
                          </a:extLst>
                        </xdr:cNvPr>
                        <xdr:cNvGrpSpPr/>
                      </xdr:nvGrpSpPr>
                      <xdr:grpSpPr>
                        <a:xfrm>
                          <a:off x="3162892" y="5179095"/>
                          <a:ext cx="1004152" cy="683516"/>
                          <a:chOff x="7305984" y="3871230"/>
                          <a:chExt cx="2544327" cy="897254"/>
                        </a:xfrm>
                      </xdr:grpSpPr>
                      <xdr:sp macro="" textlink="">
                        <xdr:nvSpPr>
                          <xdr:cNvPr id="593" name="Rectangle: Rounded Corners 592">
                            <a:extLst>
                              <a:ext uri="{FF2B5EF4-FFF2-40B4-BE49-F238E27FC236}">
                                <a16:creationId xmlns:a16="http://schemas.microsoft.com/office/drawing/2014/main" id="{00000000-0008-0000-0100-000051020000}"/>
                              </a:ext>
                            </a:extLst>
                          </xdr:cNvPr>
                          <xdr:cNvSpPr/>
                        </xdr:nvSpPr>
                        <xdr:spPr>
                          <a:xfrm>
                            <a:off x="7365560" y="3873646"/>
                            <a:ext cx="2484751" cy="89465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94" name="Rectangle: Top Corners Rounded 593">
                            <a:extLst>
                              <a:ext uri="{FF2B5EF4-FFF2-40B4-BE49-F238E27FC236}">
                                <a16:creationId xmlns:a16="http://schemas.microsoft.com/office/drawing/2014/main" id="{00000000-0008-0000-0100-000052020000}"/>
                              </a:ext>
                            </a:extLst>
                          </xdr:cNvPr>
                          <xdr:cNvSpPr/>
                        </xdr:nvSpPr>
                        <xdr:spPr>
                          <a:xfrm rot="5400000">
                            <a:off x="8241555" y="3153995"/>
                            <a:ext cx="790985" cy="2351239"/>
                          </a:xfrm>
                          <a:prstGeom prst="round2SameRect">
                            <a:avLst>
                              <a:gd name="adj1" fmla="val 5075"/>
                              <a:gd name="adj2" fmla="val 0"/>
                            </a:avLst>
                          </a:prstGeom>
                          <a:solidFill>
                            <a:srgbClr val="F2F055">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95" name="Rectangle: Top Corners Rounded 594">
                            <a:extLst>
                              <a:ext uri="{FF2B5EF4-FFF2-40B4-BE49-F238E27FC236}">
                                <a16:creationId xmlns:a16="http://schemas.microsoft.com/office/drawing/2014/main" id="{00000000-0008-0000-0100-000053020000}"/>
                              </a:ext>
                            </a:extLst>
                          </xdr:cNvPr>
                          <xdr:cNvSpPr/>
                        </xdr:nvSpPr>
                        <xdr:spPr>
                          <a:xfrm rot="16200000">
                            <a:off x="6954925" y="4222289"/>
                            <a:ext cx="897254" cy="195135"/>
                          </a:xfrm>
                          <a:prstGeom prst="round2SameRect">
                            <a:avLst/>
                          </a:prstGeom>
                          <a:solidFill>
                            <a:srgbClr val="F2F055"/>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92" name="TextBox 591">
                          <a:hlinkClick xmlns:r="http://schemas.openxmlformats.org/officeDocument/2006/relationships" r:id="rId6"/>
                          <a:extLst>
                            <a:ext uri="{FF2B5EF4-FFF2-40B4-BE49-F238E27FC236}">
                              <a16:creationId xmlns:a16="http://schemas.microsoft.com/office/drawing/2014/main" id="{00000000-0008-0000-0100-000050020000}"/>
                            </a:ext>
                          </a:extLst>
                        </xdr:cNvPr>
                        <xdr:cNvSpPr txBox="1"/>
                      </xdr:nvSpPr>
                      <xdr:spPr>
                        <a:xfrm>
                          <a:off x="3238059" y="5255251"/>
                          <a:ext cx="905453" cy="516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VI</a:t>
                          </a:r>
                        </a:p>
                      </xdr:txBody>
                    </xdr:sp>
                  </xdr:grpSp>
                  <xdr:grpSp>
                    <xdr:nvGrpSpPr>
                      <xdr:cNvPr id="570" name="Group 569">
                        <a:extLst>
                          <a:ext uri="{FF2B5EF4-FFF2-40B4-BE49-F238E27FC236}">
                            <a16:creationId xmlns:a16="http://schemas.microsoft.com/office/drawing/2014/main" id="{00000000-0008-0000-0100-00003A020000}"/>
                          </a:ext>
                        </a:extLst>
                      </xdr:cNvPr>
                      <xdr:cNvGrpSpPr/>
                    </xdr:nvGrpSpPr>
                    <xdr:grpSpPr>
                      <a:xfrm>
                        <a:off x="14251239" y="3104695"/>
                        <a:ext cx="1216966" cy="594980"/>
                        <a:chOff x="4490870" y="5179095"/>
                        <a:chExt cx="1030188" cy="683516"/>
                      </a:xfrm>
                    </xdr:grpSpPr>
                    <xdr:grpSp>
                      <xdr:nvGrpSpPr>
                        <xdr:cNvPr id="586" name="Group 585">
                          <a:extLst>
                            <a:ext uri="{FF2B5EF4-FFF2-40B4-BE49-F238E27FC236}">
                              <a16:creationId xmlns:a16="http://schemas.microsoft.com/office/drawing/2014/main" id="{00000000-0008-0000-0100-00004A020000}"/>
                            </a:ext>
                          </a:extLst>
                        </xdr:cNvPr>
                        <xdr:cNvGrpSpPr/>
                      </xdr:nvGrpSpPr>
                      <xdr:grpSpPr>
                        <a:xfrm>
                          <a:off x="4490870" y="5179095"/>
                          <a:ext cx="1012132" cy="683516"/>
                          <a:chOff x="10687874" y="3873419"/>
                          <a:chExt cx="2544797" cy="893239"/>
                        </a:xfrm>
                      </xdr:grpSpPr>
                      <xdr:sp macro="" textlink="">
                        <xdr:nvSpPr>
                          <xdr:cNvPr id="588" name="Rectangle: Rounded Corners 587">
                            <a:extLst>
                              <a:ext uri="{FF2B5EF4-FFF2-40B4-BE49-F238E27FC236}">
                                <a16:creationId xmlns:a16="http://schemas.microsoft.com/office/drawing/2014/main" id="{00000000-0008-0000-0100-00004C020000}"/>
                              </a:ext>
                            </a:extLst>
                          </xdr:cNvPr>
                          <xdr:cNvSpPr/>
                        </xdr:nvSpPr>
                        <xdr:spPr>
                          <a:xfrm>
                            <a:off x="10747460" y="3875824"/>
                            <a:ext cx="2485211" cy="888999"/>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89" name="Rectangle: Top Corners Rounded 588">
                            <a:extLst>
                              <a:ext uri="{FF2B5EF4-FFF2-40B4-BE49-F238E27FC236}">
                                <a16:creationId xmlns:a16="http://schemas.microsoft.com/office/drawing/2014/main" id="{00000000-0008-0000-0100-00004D020000}"/>
                              </a:ext>
                            </a:extLst>
                          </xdr:cNvPr>
                          <xdr:cNvSpPr/>
                        </xdr:nvSpPr>
                        <xdr:spPr>
                          <a:xfrm rot="5400000">
                            <a:off x="11625464" y="3153915"/>
                            <a:ext cx="787445" cy="2351677"/>
                          </a:xfrm>
                          <a:prstGeom prst="round2SameRect">
                            <a:avLst>
                              <a:gd name="adj1" fmla="val 5075"/>
                              <a:gd name="adj2" fmla="val 0"/>
                            </a:avLst>
                          </a:prstGeom>
                          <a:solidFill>
                            <a:srgbClr val="F2828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90" name="Rectangle: Top Corners Rounded 589">
                            <a:extLst>
                              <a:ext uri="{FF2B5EF4-FFF2-40B4-BE49-F238E27FC236}">
                                <a16:creationId xmlns:a16="http://schemas.microsoft.com/office/drawing/2014/main" id="{00000000-0008-0000-0100-00004E020000}"/>
                              </a:ext>
                            </a:extLst>
                          </xdr:cNvPr>
                          <xdr:cNvSpPr/>
                        </xdr:nvSpPr>
                        <xdr:spPr>
                          <a:xfrm rot="16200000">
                            <a:off x="10338840" y="4222453"/>
                            <a:ext cx="893239" cy="195171"/>
                          </a:xfrm>
                          <a:prstGeom prst="round2SameRect">
                            <a:avLst/>
                          </a:prstGeom>
                          <a:solidFill>
                            <a:srgbClr val="F2828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87" name="TextBox 586">
                          <a:hlinkClick xmlns:r="http://schemas.openxmlformats.org/officeDocument/2006/relationships" r:id="rId7"/>
                          <a:extLst>
                            <a:ext uri="{FF2B5EF4-FFF2-40B4-BE49-F238E27FC236}">
                              <a16:creationId xmlns:a16="http://schemas.microsoft.com/office/drawing/2014/main" id="{00000000-0008-0000-0100-00004B020000}"/>
                            </a:ext>
                          </a:extLst>
                        </xdr:cNvPr>
                        <xdr:cNvSpPr txBox="1"/>
                      </xdr:nvSpPr>
                      <xdr:spPr>
                        <a:xfrm>
                          <a:off x="4568216" y="5274198"/>
                          <a:ext cx="952842" cy="516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VII</a:t>
                          </a:r>
                        </a:p>
                      </xdr:txBody>
                    </xdr:sp>
                  </xdr:grpSp>
                  <xdr:grpSp>
                    <xdr:nvGrpSpPr>
                      <xdr:cNvPr id="571" name="Group 570">
                        <a:extLst>
                          <a:ext uri="{FF2B5EF4-FFF2-40B4-BE49-F238E27FC236}">
                            <a16:creationId xmlns:a16="http://schemas.microsoft.com/office/drawing/2014/main" id="{00000000-0008-0000-0100-00003B020000}"/>
                          </a:ext>
                        </a:extLst>
                      </xdr:cNvPr>
                      <xdr:cNvGrpSpPr/>
                    </xdr:nvGrpSpPr>
                    <xdr:grpSpPr>
                      <a:xfrm>
                        <a:off x="15789749" y="3103777"/>
                        <a:ext cx="1190739" cy="596740"/>
                        <a:chOff x="5891557" y="5216315"/>
                        <a:chExt cx="1005319" cy="684898"/>
                      </a:xfrm>
                    </xdr:grpSpPr>
                    <xdr:grpSp>
                      <xdr:nvGrpSpPr>
                        <xdr:cNvPr id="580" name="Group 579">
                          <a:extLst>
                            <a:ext uri="{FF2B5EF4-FFF2-40B4-BE49-F238E27FC236}">
                              <a16:creationId xmlns:a16="http://schemas.microsoft.com/office/drawing/2014/main" id="{00000000-0008-0000-0100-000044020000}"/>
                            </a:ext>
                          </a:extLst>
                        </xdr:cNvPr>
                        <xdr:cNvGrpSpPr/>
                      </xdr:nvGrpSpPr>
                      <xdr:grpSpPr>
                        <a:xfrm>
                          <a:off x="5891557" y="5216315"/>
                          <a:ext cx="1005319" cy="684898"/>
                          <a:chOff x="511370" y="3869258"/>
                          <a:chExt cx="1729377" cy="900865"/>
                        </a:xfrm>
                      </xdr:grpSpPr>
                      <xdr:grpSp>
                        <xdr:nvGrpSpPr>
                          <xdr:cNvPr id="582" name="Group 581">
                            <a:extLst>
                              <a:ext uri="{FF2B5EF4-FFF2-40B4-BE49-F238E27FC236}">
                                <a16:creationId xmlns:a16="http://schemas.microsoft.com/office/drawing/2014/main" id="{00000000-0008-0000-0100-000046020000}"/>
                              </a:ext>
                            </a:extLst>
                          </xdr:cNvPr>
                          <xdr:cNvGrpSpPr/>
                        </xdr:nvGrpSpPr>
                        <xdr:grpSpPr>
                          <a:xfrm>
                            <a:off x="571054" y="3871684"/>
                            <a:ext cx="1669693" cy="897133"/>
                            <a:chOff x="571054" y="3871684"/>
                            <a:chExt cx="2489243" cy="897133"/>
                          </a:xfrm>
                        </xdr:grpSpPr>
                        <xdr:sp macro="" textlink="">
                          <xdr:nvSpPr>
                            <xdr:cNvPr id="584" name="Rectangle: Rounded Corners 583">
                              <a:extLst>
                                <a:ext uri="{FF2B5EF4-FFF2-40B4-BE49-F238E27FC236}">
                                  <a16:creationId xmlns:a16="http://schemas.microsoft.com/office/drawing/2014/main" id="{00000000-0008-0000-0100-000048020000}"/>
                                </a:ext>
                              </a:extLst>
                            </xdr:cNvPr>
                            <xdr:cNvSpPr/>
                          </xdr:nvSpPr>
                          <xdr:spPr>
                            <a:xfrm>
                              <a:off x="571054" y="3871684"/>
                              <a:ext cx="2489243" cy="897133"/>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85" name="Rectangle: Top Corners Rounded 584">
                              <a:extLst>
                                <a:ext uri="{FF2B5EF4-FFF2-40B4-BE49-F238E27FC236}">
                                  <a16:creationId xmlns:a16="http://schemas.microsoft.com/office/drawing/2014/main" id="{00000000-0008-0000-0100-000049020000}"/>
                                </a:ext>
                              </a:extLst>
                            </xdr:cNvPr>
                            <xdr:cNvSpPr/>
                          </xdr:nvSpPr>
                          <xdr:spPr>
                            <a:xfrm rot="5400000">
                              <a:off x="1447755" y="3151743"/>
                              <a:ext cx="794168" cy="2355491"/>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83" name="Rectangle: Top Corners Rounded 582">
                            <a:extLst>
                              <a:ext uri="{FF2B5EF4-FFF2-40B4-BE49-F238E27FC236}">
                                <a16:creationId xmlns:a16="http://schemas.microsoft.com/office/drawing/2014/main" id="{00000000-0008-0000-0100-000047020000}"/>
                              </a:ext>
                            </a:extLst>
                          </xdr:cNvPr>
                          <xdr:cNvSpPr/>
                        </xdr:nvSpPr>
                        <xdr:spPr>
                          <a:xfrm rot="16200000">
                            <a:off x="158681" y="4221947"/>
                            <a:ext cx="900865" cy="195488"/>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81" name="TextBox 580">
                          <a:hlinkClick xmlns:r="http://schemas.openxmlformats.org/officeDocument/2006/relationships" r:id="rId7"/>
                          <a:extLst>
                            <a:ext uri="{FF2B5EF4-FFF2-40B4-BE49-F238E27FC236}">
                              <a16:creationId xmlns:a16="http://schemas.microsoft.com/office/drawing/2014/main" id="{00000000-0008-0000-0100-000045020000}"/>
                            </a:ext>
                          </a:extLst>
                        </xdr:cNvPr>
                        <xdr:cNvSpPr txBox="1"/>
                      </xdr:nvSpPr>
                      <xdr:spPr>
                        <a:xfrm>
                          <a:off x="6036449" y="5302880"/>
                          <a:ext cx="791721" cy="516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b="1" spc="300" baseline="0">
                              <a:solidFill>
                                <a:srgbClr val="312B57"/>
                              </a:solidFill>
                              <a:latin typeface="Comic Sans MS" panose="030F0702030302020204" pitchFamily="66" charset="0"/>
                            </a:rPr>
                            <a:t>VIII</a:t>
                          </a:r>
                        </a:p>
                      </xdr:txBody>
                    </xdr:sp>
                  </xdr:grpSp>
                  <xdr:grpSp>
                    <xdr:nvGrpSpPr>
                      <xdr:cNvPr id="572" name="Group 571">
                        <a:extLst>
                          <a:ext uri="{FF2B5EF4-FFF2-40B4-BE49-F238E27FC236}">
                            <a16:creationId xmlns:a16="http://schemas.microsoft.com/office/drawing/2014/main" id="{00000000-0008-0000-0100-00003C020000}"/>
                          </a:ext>
                        </a:extLst>
                      </xdr:cNvPr>
                      <xdr:cNvGrpSpPr/>
                    </xdr:nvGrpSpPr>
                    <xdr:grpSpPr>
                      <a:xfrm>
                        <a:off x="17302032" y="3104661"/>
                        <a:ext cx="1187987" cy="595073"/>
                        <a:chOff x="3898283" y="3869677"/>
                        <a:chExt cx="2567978" cy="900097"/>
                      </a:xfrm>
                    </xdr:grpSpPr>
                    <xdr:sp macro="" textlink="">
                      <xdr:nvSpPr>
                        <xdr:cNvPr id="577" name="Rectangle: Rounded Corners 576">
                          <a:extLst>
                            <a:ext uri="{FF2B5EF4-FFF2-40B4-BE49-F238E27FC236}">
                              <a16:creationId xmlns:a16="http://schemas.microsoft.com/office/drawing/2014/main" id="{00000000-0008-0000-0100-000041020000}"/>
                            </a:ext>
                          </a:extLst>
                        </xdr:cNvPr>
                        <xdr:cNvSpPr/>
                      </xdr:nvSpPr>
                      <xdr:spPr>
                        <a:xfrm>
                          <a:off x="3958412" y="3872101"/>
                          <a:ext cx="2507849" cy="893517"/>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8" name="Rectangle: Top Corners Rounded 577">
                          <a:extLst>
                            <a:ext uri="{FF2B5EF4-FFF2-40B4-BE49-F238E27FC236}">
                              <a16:creationId xmlns:a16="http://schemas.microsoft.com/office/drawing/2014/main" id="{00000000-0008-0000-0100-000042020000}"/>
                            </a:ext>
                          </a:extLst>
                        </xdr:cNvPr>
                        <xdr:cNvSpPr/>
                      </xdr:nvSpPr>
                      <xdr:spPr>
                        <a:xfrm rot="5400000">
                          <a:off x="4844980" y="3142966"/>
                          <a:ext cx="793492" cy="2373099"/>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9" name="Rectangle: Top Corners Rounded 578">
                          <a:extLst>
                            <a:ext uri="{FF2B5EF4-FFF2-40B4-BE49-F238E27FC236}">
                              <a16:creationId xmlns:a16="http://schemas.microsoft.com/office/drawing/2014/main" id="{00000000-0008-0000-0100-000043020000}"/>
                            </a:ext>
                          </a:extLst>
                        </xdr:cNvPr>
                        <xdr:cNvSpPr/>
                      </xdr:nvSpPr>
                      <xdr:spPr>
                        <a:xfrm rot="16200000">
                          <a:off x="3546709" y="4221251"/>
                          <a:ext cx="900097" cy="196949"/>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573" name="Group 572">
                        <a:extLst>
                          <a:ext uri="{FF2B5EF4-FFF2-40B4-BE49-F238E27FC236}">
                            <a16:creationId xmlns:a16="http://schemas.microsoft.com/office/drawing/2014/main" id="{00000000-0008-0000-0100-00003D020000}"/>
                          </a:ext>
                        </a:extLst>
                      </xdr:cNvPr>
                      <xdr:cNvGrpSpPr/>
                    </xdr:nvGrpSpPr>
                    <xdr:grpSpPr>
                      <a:xfrm>
                        <a:off x="18811565" y="3104056"/>
                        <a:ext cx="1188965" cy="594168"/>
                        <a:chOff x="7320017" y="5130605"/>
                        <a:chExt cx="2533432" cy="900491"/>
                      </a:xfrm>
                    </xdr:grpSpPr>
                    <xdr:sp macro="" textlink="">
                      <xdr:nvSpPr>
                        <xdr:cNvPr id="574" name="Rectangle: Rounded Corners 573">
                          <a:extLst>
                            <a:ext uri="{FF2B5EF4-FFF2-40B4-BE49-F238E27FC236}">
                              <a16:creationId xmlns:a16="http://schemas.microsoft.com/office/drawing/2014/main" id="{00000000-0008-0000-0100-00003E020000}"/>
                            </a:ext>
                          </a:extLst>
                        </xdr:cNvPr>
                        <xdr:cNvSpPr/>
                      </xdr:nvSpPr>
                      <xdr:spPr>
                        <a:xfrm>
                          <a:off x="7379338" y="5133026"/>
                          <a:ext cx="2474111" cy="89765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5" name="Rectangle: Top Corners Rounded 574">
                          <a:extLst>
                            <a:ext uri="{FF2B5EF4-FFF2-40B4-BE49-F238E27FC236}">
                              <a16:creationId xmlns:a16="http://schemas.microsoft.com/office/drawing/2014/main" id="{00000000-0008-0000-0100-00003F020000}"/>
                            </a:ext>
                          </a:extLst>
                        </xdr:cNvPr>
                        <xdr:cNvSpPr/>
                      </xdr:nvSpPr>
                      <xdr:spPr>
                        <a:xfrm rot="5400000">
                          <a:off x="8248461" y="4420061"/>
                          <a:ext cx="793839" cy="2341173"/>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6" name="Rectangle: Top Corners Rounded 575">
                          <a:extLst>
                            <a:ext uri="{FF2B5EF4-FFF2-40B4-BE49-F238E27FC236}">
                              <a16:creationId xmlns:a16="http://schemas.microsoft.com/office/drawing/2014/main" id="{00000000-0008-0000-0100-000040020000}"/>
                            </a:ext>
                          </a:extLst>
                        </xdr:cNvPr>
                        <xdr:cNvSpPr/>
                      </xdr:nvSpPr>
                      <xdr:spPr>
                        <a:xfrm rot="16200000">
                          <a:off x="6966921" y="5483701"/>
                          <a:ext cx="900491" cy="194299"/>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grpSp>
              <xdr:sp macro="" textlink="">
                <xdr:nvSpPr>
                  <xdr:cNvPr id="558" name="TextBox 557">
                    <a:hlinkClick xmlns:r="http://schemas.openxmlformats.org/officeDocument/2006/relationships" r:id="rId4"/>
                    <a:extLst>
                      <a:ext uri="{FF2B5EF4-FFF2-40B4-BE49-F238E27FC236}">
                        <a16:creationId xmlns:a16="http://schemas.microsoft.com/office/drawing/2014/main" id="{00000000-0008-0000-0100-00002E020000}"/>
                      </a:ext>
                    </a:extLst>
                  </xdr:cNvPr>
                  <xdr:cNvSpPr txBox="1"/>
                </xdr:nvSpPr>
                <xdr:spPr>
                  <a:xfrm>
                    <a:off x="3658978" y="3214444"/>
                    <a:ext cx="1070004" cy="391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b="1" spc="300" baseline="0">
                        <a:solidFill>
                          <a:srgbClr val="312B57"/>
                        </a:solidFill>
                        <a:latin typeface="Comic Sans MS" panose="030F0702030302020204" pitchFamily="66" charset="0"/>
                      </a:rPr>
                      <a:t>UKG</a:t>
                    </a:r>
                  </a:p>
                </xdr:txBody>
              </xdr:sp>
            </xdr:grpSp>
            <xdr:grpSp>
              <xdr:nvGrpSpPr>
                <xdr:cNvPr id="520" name="Group 519">
                  <a:extLst>
                    <a:ext uri="{FF2B5EF4-FFF2-40B4-BE49-F238E27FC236}">
                      <a16:creationId xmlns:a16="http://schemas.microsoft.com/office/drawing/2014/main" id="{00000000-0008-0000-0100-000008020000}"/>
                    </a:ext>
                  </a:extLst>
                </xdr:cNvPr>
                <xdr:cNvGrpSpPr/>
              </xdr:nvGrpSpPr>
              <xdr:grpSpPr>
                <a:xfrm>
                  <a:off x="500260" y="1748753"/>
                  <a:ext cx="19655524" cy="1060061"/>
                  <a:chOff x="504071" y="2558272"/>
                  <a:chExt cx="16051880" cy="1031001"/>
                </a:xfrm>
              </xdr:grpSpPr>
              <xdr:grpSp>
                <xdr:nvGrpSpPr>
                  <xdr:cNvPr id="521" name="Group 520">
                    <a:extLst>
                      <a:ext uri="{FF2B5EF4-FFF2-40B4-BE49-F238E27FC236}">
                        <a16:creationId xmlns:a16="http://schemas.microsoft.com/office/drawing/2014/main" id="{00000000-0008-0000-0100-000009020000}"/>
                      </a:ext>
                    </a:extLst>
                  </xdr:cNvPr>
                  <xdr:cNvGrpSpPr/>
                </xdr:nvGrpSpPr>
                <xdr:grpSpPr>
                  <a:xfrm>
                    <a:off x="13761429" y="2558476"/>
                    <a:ext cx="2794522" cy="1030593"/>
                    <a:chOff x="10712585" y="899307"/>
                    <a:chExt cx="2771365" cy="1010331"/>
                  </a:xfrm>
                </xdr:grpSpPr>
                <xdr:grpSp>
                  <xdr:nvGrpSpPr>
                    <xdr:cNvPr id="546" name="Group 545">
                      <a:extLst>
                        <a:ext uri="{FF2B5EF4-FFF2-40B4-BE49-F238E27FC236}">
                          <a16:creationId xmlns:a16="http://schemas.microsoft.com/office/drawing/2014/main" id="{00000000-0008-0000-0100-000022020000}"/>
                        </a:ext>
                      </a:extLst>
                    </xdr:cNvPr>
                    <xdr:cNvGrpSpPr/>
                  </xdr:nvGrpSpPr>
                  <xdr:grpSpPr>
                    <a:xfrm>
                      <a:off x="10712585" y="899307"/>
                      <a:ext cx="2771365" cy="1010331"/>
                      <a:chOff x="10712585" y="899307"/>
                      <a:chExt cx="2771365" cy="1010331"/>
                    </a:xfrm>
                  </xdr:grpSpPr>
                  <xdr:grpSp>
                    <xdr:nvGrpSpPr>
                      <xdr:cNvPr id="550" name="Group 549">
                        <a:extLst>
                          <a:ext uri="{FF2B5EF4-FFF2-40B4-BE49-F238E27FC236}">
                            <a16:creationId xmlns:a16="http://schemas.microsoft.com/office/drawing/2014/main" id="{00000000-0008-0000-0100-000026020000}"/>
                          </a:ext>
                        </a:extLst>
                      </xdr:cNvPr>
                      <xdr:cNvGrpSpPr/>
                    </xdr:nvGrpSpPr>
                    <xdr:grpSpPr>
                      <a:xfrm>
                        <a:off x="10712585" y="899307"/>
                        <a:ext cx="2771365" cy="1010331"/>
                        <a:chOff x="10712585" y="899307"/>
                        <a:chExt cx="2771365" cy="1010331"/>
                      </a:xfrm>
                    </xdr:grpSpPr>
                    <xdr:grpSp>
                      <xdr:nvGrpSpPr>
                        <xdr:cNvPr id="552" name="Group 551">
                          <a:extLst>
                            <a:ext uri="{FF2B5EF4-FFF2-40B4-BE49-F238E27FC236}">
                              <a16:creationId xmlns:a16="http://schemas.microsoft.com/office/drawing/2014/main" id="{00000000-0008-0000-0100-000028020000}"/>
                            </a:ext>
                          </a:extLst>
                        </xdr:cNvPr>
                        <xdr:cNvGrpSpPr/>
                      </xdr:nvGrpSpPr>
                      <xdr:grpSpPr>
                        <a:xfrm>
                          <a:off x="10712585" y="899307"/>
                          <a:ext cx="2771365" cy="1010331"/>
                          <a:chOff x="2855988" y="41893577"/>
                          <a:chExt cx="5580105" cy="2030537"/>
                        </a:xfrm>
                      </xdr:grpSpPr>
                      <xdr:sp macro="" textlink="">
                        <xdr:nvSpPr>
                          <xdr:cNvPr id="554" name="Rectangle: Rounded Corners 553">
                            <a:extLst>
                              <a:ext uri="{FF2B5EF4-FFF2-40B4-BE49-F238E27FC236}">
                                <a16:creationId xmlns:a16="http://schemas.microsoft.com/office/drawing/2014/main" id="{00000000-0008-0000-0100-00002A020000}"/>
                              </a:ext>
                            </a:extLst>
                          </xdr:cNvPr>
                          <xdr:cNvSpPr/>
                        </xdr:nvSpPr>
                        <xdr:spPr>
                          <a:xfrm>
                            <a:off x="2986648" y="41899036"/>
                            <a:ext cx="5449445" cy="2024140"/>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5" name="Rectangle: Top Corners Rounded 554">
                            <a:extLst>
                              <a:ext uri="{FF2B5EF4-FFF2-40B4-BE49-F238E27FC236}">
                                <a16:creationId xmlns:a16="http://schemas.microsoft.com/office/drawing/2014/main" id="{00000000-0008-0000-0100-00002B020000}"/>
                              </a:ext>
                            </a:extLst>
                          </xdr:cNvPr>
                          <xdr:cNvSpPr/>
                        </xdr:nvSpPr>
                        <xdr:spPr>
                          <a:xfrm rot="5400000">
                            <a:off x="4880193" y="40352617"/>
                            <a:ext cx="1790043" cy="5156637"/>
                          </a:xfrm>
                          <a:prstGeom prst="round2SameRect">
                            <a:avLst>
                              <a:gd name="adj1" fmla="val 5075"/>
                              <a:gd name="adj2" fmla="val 0"/>
                            </a:avLst>
                          </a:prstGeom>
                          <a:solidFill>
                            <a:srgbClr val="7EC49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6" name="Rectangle: Top Corners Rounded 555">
                            <a:extLst>
                              <a:ext uri="{FF2B5EF4-FFF2-40B4-BE49-F238E27FC236}">
                                <a16:creationId xmlns:a16="http://schemas.microsoft.com/office/drawing/2014/main" id="{00000000-0008-0000-0100-00002C020000}"/>
                              </a:ext>
                            </a:extLst>
                          </xdr:cNvPr>
                          <xdr:cNvSpPr/>
                        </xdr:nvSpPr>
                        <xdr:spPr>
                          <a:xfrm rot="16200000">
                            <a:off x="2054700" y="42694865"/>
                            <a:ext cx="2030537" cy="427961"/>
                          </a:xfrm>
                          <a:prstGeom prst="round2SameRect">
                            <a:avLst/>
                          </a:prstGeom>
                          <a:solidFill>
                            <a:srgbClr val="7EC49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xnSp macro="">
                      <xdr:nvCxnSpPr>
                        <xdr:cNvPr id="553" name="Straight Connector 552">
                          <a:extLst>
                            <a:ext uri="{FF2B5EF4-FFF2-40B4-BE49-F238E27FC236}">
                              <a16:creationId xmlns:a16="http://schemas.microsoft.com/office/drawing/2014/main" id="{00000000-0008-0000-0100-000029020000}"/>
                            </a:ext>
                          </a:extLst>
                        </xdr:cNvPr>
                        <xdr:cNvCxnSpPr>
                          <a:stCxn id="555" idx="2"/>
                          <a:endCxn id="555" idx="0"/>
                        </xdr:cNvCxnSpPr>
                      </xdr:nvCxnSpPr>
                      <xdr:spPr>
                        <a:xfrm>
                          <a:off x="12162422" y="970127"/>
                          <a:ext cx="0" cy="890669"/>
                        </a:xfrm>
                        <a:prstGeom prst="line">
                          <a:avLst/>
                        </a:prstGeom>
                        <a:ln>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grpSp>
                  <xdr:sp macro="" textlink="">
                    <xdr:nvSpPr>
                      <xdr:cNvPr id="551" name="TextBox 550">
                        <a:extLst>
                          <a:ext uri="{FF2B5EF4-FFF2-40B4-BE49-F238E27FC236}">
                            <a16:creationId xmlns:a16="http://schemas.microsoft.com/office/drawing/2014/main" id="{00000000-0008-0000-0100-000027020000}"/>
                          </a:ext>
                        </a:extLst>
                      </xdr:cNvPr>
                      <xdr:cNvSpPr txBox="1"/>
                    </xdr:nvSpPr>
                    <xdr:spPr>
                      <a:xfrm>
                        <a:off x="11044650" y="994355"/>
                        <a:ext cx="664284" cy="237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000">
                            <a:solidFill>
                              <a:srgbClr val="312B57"/>
                            </a:solidFill>
                            <a:latin typeface="Abadi" panose="020B0604020104020204" pitchFamily="34" charset="0"/>
                            <a:ea typeface="+mn-ea"/>
                            <a:cs typeface="+mn-cs"/>
                          </a:rPr>
                          <a:t>Students</a:t>
                        </a:r>
                      </a:p>
                    </xdr:txBody>
                  </xdr:sp>
                </xdr:grpSp>
                <xdr:grpSp>
                  <xdr:nvGrpSpPr>
                    <xdr:cNvPr id="547" name="Group 546">
                      <a:extLst>
                        <a:ext uri="{FF2B5EF4-FFF2-40B4-BE49-F238E27FC236}">
                          <a16:creationId xmlns:a16="http://schemas.microsoft.com/office/drawing/2014/main" id="{00000000-0008-0000-0100-000023020000}"/>
                        </a:ext>
                      </a:extLst>
                    </xdr:cNvPr>
                    <xdr:cNvGrpSpPr/>
                  </xdr:nvGrpSpPr>
                  <xdr:grpSpPr>
                    <a:xfrm>
                      <a:off x="12211821" y="913722"/>
                      <a:ext cx="367180" cy="958051"/>
                      <a:chOff x="12211821" y="913722"/>
                      <a:chExt cx="367180" cy="958051"/>
                    </a:xfrm>
                  </xdr:grpSpPr>
                  <xdr:pic>
                    <xdr:nvPicPr>
                      <xdr:cNvPr id="548" name="Graphic 547" descr="School boy">
                        <a:extLst>
                          <a:ext uri="{FF2B5EF4-FFF2-40B4-BE49-F238E27FC236}">
                            <a16:creationId xmlns:a16="http://schemas.microsoft.com/office/drawing/2014/main" id="{00000000-0008-0000-0100-00002402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22090" y="913722"/>
                        <a:ext cx="325020" cy="476804"/>
                      </a:xfrm>
                      <a:prstGeom prst="rect">
                        <a:avLst/>
                      </a:prstGeom>
                    </xdr:spPr>
                  </xdr:pic>
                  <xdr:pic>
                    <xdr:nvPicPr>
                      <xdr:cNvPr id="549" name="Graphic 548" descr="School girl">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211821" y="1396814"/>
                        <a:ext cx="367180" cy="474959"/>
                      </a:xfrm>
                      <a:prstGeom prst="rect">
                        <a:avLst/>
                      </a:prstGeom>
                    </xdr:spPr>
                  </xdr:pic>
                </xdr:grpSp>
              </xdr:grpSp>
              <xdr:grpSp>
                <xdr:nvGrpSpPr>
                  <xdr:cNvPr id="522" name="Group 521">
                    <a:extLst>
                      <a:ext uri="{FF2B5EF4-FFF2-40B4-BE49-F238E27FC236}">
                        <a16:creationId xmlns:a16="http://schemas.microsoft.com/office/drawing/2014/main" id="{00000000-0008-0000-0100-00000A020000}"/>
                      </a:ext>
                    </a:extLst>
                  </xdr:cNvPr>
                  <xdr:cNvGrpSpPr/>
                </xdr:nvGrpSpPr>
                <xdr:grpSpPr>
                  <a:xfrm>
                    <a:off x="504071" y="2558272"/>
                    <a:ext cx="2802068" cy="1031001"/>
                    <a:chOff x="504071" y="2518159"/>
                    <a:chExt cx="2788522" cy="1010739"/>
                  </a:xfrm>
                </xdr:grpSpPr>
                <xdr:grpSp>
                  <xdr:nvGrpSpPr>
                    <xdr:cNvPr id="541" name="Group 540">
                      <a:extLst>
                        <a:ext uri="{FF2B5EF4-FFF2-40B4-BE49-F238E27FC236}">
                          <a16:creationId xmlns:a16="http://schemas.microsoft.com/office/drawing/2014/main" id="{00000000-0008-0000-0100-00001D020000}"/>
                        </a:ext>
                      </a:extLst>
                    </xdr:cNvPr>
                    <xdr:cNvGrpSpPr/>
                  </xdr:nvGrpSpPr>
                  <xdr:grpSpPr>
                    <a:xfrm>
                      <a:off x="504071" y="2518159"/>
                      <a:ext cx="2788522" cy="1010739"/>
                      <a:chOff x="2855988" y="41893577"/>
                      <a:chExt cx="5580105" cy="2030537"/>
                    </a:xfrm>
                  </xdr:grpSpPr>
                  <xdr:sp macro="" textlink="">
                    <xdr:nvSpPr>
                      <xdr:cNvPr id="543" name="Rectangle: Rounded Corners 542">
                        <a:extLst>
                          <a:ext uri="{FF2B5EF4-FFF2-40B4-BE49-F238E27FC236}">
                            <a16:creationId xmlns:a16="http://schemas.microsoft.com/office/drawing/2014/main" id="{00000000-0008-0000-0100-00001F020000}"/>
                          </a:ext>
                        </a:extLst>
                      </xdr:cNvPr>
                      <xdr:cNvSpPr/>
                    </xdr:nvSpPr>
                    <xdr:spPr>
                      <a:xfrm>
                        <a:off x="2986647" y="41899045"/>
                        <a:ext cx="5449446" cy="2022126"/>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44" name="Rectangle: Top Corners Rounded 543">
                        <a:extLst>
                          <a:ext uri="{FF2B5EF4-FFF2-40B4-BE49-F238E27FC236}">
                            <a16:creationId xmlns:a16="http://schemas.microsoft.com/office/drawing/2014/main" id="{00000000-0008-0000-0100-000020020000}"/>
                          </a:ext>
                        </a:extLst>
                      </xdr:cNvPr>
                      <xdr:cNvSpPr/>
                    </xdr:nvSpPr>
                    <xdr:spPr>
                      <a:xfrm rot="5400000">
                        <a:off x="4880193" y="40352612"/>
                        <a:ext cx="1790043" cy="5156636"/>
                      </a:xfrm>
                      <a:prstGeom prst="round2SameRect">
                        <a:avLst>
                          <a:gd name="adj1" fmla="val 5075"/>
                          <a:gd name="adj2" fmla="val 0"/>
                        </a:avLst>
                      </a:prstGeom>
                      <a:solidFill>
                        <a:srgbClr val="5F5490">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45" name="Rectangle: Top Corners Rounded 544">
                        <a:extLst>
                          <a:ext uri="{FF2B5EF4-FFF2-40B4-BE49-F238E27FC236}">
                            <a16:creationId xmlns:a16="http://schemas.microsoft.com/office/drawing/2014/main" id="{00000000-0008-0000-0100-000021020000}"/>
                          </a:ext>
                        </a:extLst>
                      </xdr:cNvPr>
                      <xdr:cNvSpPr/>
                    </xdr:nvSpPr>
                    <xdr:spPr>
                      <a:xfrm rot="16200000">
                        <a:off x="2054700" y="42694865"/>
                        <a:ext cx="2030537" cy="427961"/>
                      </a:xfrm>
                      <a:prstGeom prst="round2SameRect">
                        <a:avLst/>
                      </a:prstGeom>
                      <a:solidFill>
                        <a:srgbClr val="5F549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42" name="TextBox 541">
                      <a:extLst>
                        <a:ext uri="{FF2B5EF4-FFF2-40B4-BE49-F238E27FC236}">
                          <a16:creationId xmlns:a16="http://schemas.microsoft.com/office/drawing/2014/main" id="{00000000-0008-0000-0100-00001E020000}"/>
                        </a:ext>
                      </a:extLst>
                    </xdr:cNvPr>
                    <xdr:cNvSpPr txBox="1"/>
                  </xdr:nvSpPr>
                  <xdr:spPr>
                    <a:xfrm>
                      <a:off x="1311542" y="3240134"/>
                      <a:ext cx="1244138" cy="216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rgbClr val="312B57"/>
                          </a:solidFill>
                          <a:latin typeface="Abadi" panose="020B0604020104020204" pitchFamily="34" charset="0"/>
                          <a:ea typeface="+mn-ea"/>
                          <a:cs typeface="+mn-cs"/>
                        </a:rPr>
                        <a:t>Actual</a:t>
                      </a:r>
                      <a:r>
                        <a:rPr lang="en-IN" sz="1000" baseline="0">
                          <a:solidFill>
                            <a:srgbClr val="312B57"/>
                          </a:solidFill>
                          <a:latin typeface="Abadi" panose="020B0604020104020204" pitchFamily="34" charset="0"/>
                          <a:ea typeface="+mn-ea"/>
                          <a:cs typeface="+mn-cs"/>
                        </a:rPr>
                        <a:t> Fee Amount</a:t>
                      </a:r>
                      <a:endParaRPr lang="en-IN" sz="1000">
                        <a:solidFill>
                          <a:srgbClr val="312B57"/>
                        </a:solidFill>
                        <a:latin typeface="Abadi" panose="020B0604020104020204" pitchFamily="34" charset="0"/>
                        <a:ea typeface="+mn-ea"/>
                        <a:cs typeface="+mn-cs"/>
                      </a:endParaRPr>
                    </a:p>
                  </xdr:txBody>
                </xdr:sp>
              </xdr:grpSp>
              <xdr:grpSp>
                <xdr:nvGrpSpPr>
                  <xdr:cNvPr id="523" name="Group 522">
                    <a:extLst>
                      <a:ext uri="{FF2B5EF4-FFF2-40B4-BE49-F238E27FC236}">
                        <a16:creationId xmlns:a16="http://schemas.microsoft.com/office/drawing/2014/main" id="{00000000-0008-0000-0100-00000B020000}"/>
                      </a:ext>
                    </a:extLst>
                  </xdr:cNvPr>
                  <xdr:cNvGrpSpPr/>
                </xdr:nvGrpSpPr>
                <xdr:grpSpPr>
                  <a:xfrm>
                    <a:off x="3815575" y="2558712"/>
                    <a:ext cx="2823010" cy="1030121"/>
                    <a:chOff x="3899182" y="2518590"/>
                    <a:chExt cx="2809363" cy="1009876"/>
                  </a:xfrm>
                </xdr:grpSpPr>
                <xdr:grpSp>
                  <xdr:nvGrpSpPr>
                    <xdr:cNvPr id="536" name="Group 535">
                      <a:extLst>
                        <a:ext uri="{FF2B5EF4-FFF2-40B4-BE49-F238E27FC236}">
                          <a16:creationId xmlns:a16="http://schemas.microsoft.com/office/drawing/2014/main" id="{00000000-0008-0000-0100-000018020000}"/>
                        </a:ext>
                      </a:extLst>
                    </xdr:cNvPr>
                    <xdr:cNvGrpSpPr/>
                  </xdr:nvGrpSpPr>
                  <xdr:grpSpPr>
                    <a:xfrm>
                      <a:off x="3899182" y="2518590"/>
                      <a:ext cx="2809363" cy="1009876"/>
                      <a:chOff x="2855988" y="41893577"/>
                      <a:chExt cx="5580105" cy="2030537"/>
                    </a:xfrm>
                  </xdr:grpSpPr>
                  <xdr:sp macro="" textlink="">
                    <xdr:nvSpPr>
                      <xdr:cNvPr id="538" name="Rectangle: Rounded Corners 537">
                        <a:extLst>
                          <a:ext uri="{FF2B5EF4-FFF2-40B4-BE49-F238E27FC236}">
                            <a16:creationId xmlns:a16="http://schemas.microsoft.com/office/drawing/2014/main" id="{00000000-0008-0000-0100-00001A020000}"/>
                          </a:ext>
                        </a:extLst>
                      </xdr:cNvPr>
                      <xdr:cNvSpPr/>
                    </xdr:nvSpPr>
                    <xdr:spPr>
                      <a:xfrm>
                        <a:off x="2986646" y="41899045"/>
                        <a:ext cx="5449447" cy="2015694"/>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9" name="Rectangle: Top Corners Rounded 538">
                        <a:extLst>
                          <a:ext uri="{FF2B5EF4-FFF2-40B4-BE49-F238E27FC236}">
                            <a16:creationId xmlns:a16="http://schemas.microsoft.com/office/drawing/2014/main" id="{00000000-0008-0000-0100-00001B020000}"/>
                          </a:ext>
                        </a:extLst>
                      </xdr:cNvPr>
                      <xdr:cNvSpPr/>
                    </xdr:nvSpPr>
                    <xdr:spPr>
                      <a:xfrm rot="5400000">
                        <a:off x="4880193" y="40352612"/>
                        <a:ext cx="1790043" cy="5156636"/>
                      </a:xfrm>
                      <a:prstGeom prst="round2SameRect">
                        <a:avLst>
                          <a:gd name="adj1" fmla="val 5075"/>
                          <a:gd name="adj2" fmla="val 0"/>
                        </a:avLst>
                      </a:prstGeom>
                      <a:solidFill>
                        <a:srgbClr val="57A197">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40" name="Rectangle: Top Corners Rounded 539">
                        <a:extLst>
                          <a:ext uri="{FF2B5EF4-FFF2-40B4-BE49-F238E27FC236}">
                            <a16:creationId xmlns:a16="http://schemas.microsoft.com/office/drawing/2014/main" id="{00000000-0008-0000-0100-00001C020000}"/>
                          </a:ext>
                        </a:extLst>
                      </xdr:cNvPr>
                      <xdr:cNvSpPr/>
                    </xdr:nvSpPr>
                    <xdr:spPr>
                      <a:xfrm rot="16200000">
                        <a:off x="2054700" y="42694865"/>
                        <a:ext cx="2030537" cy="427961"/>
                      </a:xfrm>
                      <a:prstGeom prst="round2SameRect">
                        <a:avLst/>
                      </a:prstGeom>
                      <a:solidFill>
                        <a:srgbClr val="57A197"/>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37" name="TextBox 536">
                      <a:extLst>
                        <a:ext uri="{FF2B5EF4-FFF2-40B4-BE49-F238E27FC236}">
                          <a16:creationId xmlns:a16="http://schemas.microsoft.com/office/drawing/2014/main" id="{00000000-0008-0000-0100-000019020000}"/>
                        </a:ext>
                      </a:extLst>
                    </xdr:cNvPr>
                    <xdr:cNvSpPr txBox="1"/>
                  </xdr:nvSpPr>
                  <xdr:spPr>
                    <a:xfrm>
                      <a:off x="4923299" y="3244671"/>
                      <a:ext cx="1011208" cy="2076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rgbClr val="312B57"/>
                          </a:solidFill>
                          <a:latin typeface="Abadi" panose="020B0604020104020204" pitchFamily="34" charset="0"/>
                          <a:ea typeface="+mn-ea"/>
                          <a:cs typeface="+mn-cs"/>
                        </a:rPr>
                        <a:t>Fees Recieved</a:t>
                      </a:r>
                    </a:p>
                  </xdr:txBody>
                </xdr:sp>
              </xdr:grpSp>
              <xdr:grpSp>
                <xdr:nvGrpSpPr>
                  <xdr:cNvPr id="524" name="Group 523">
                    <a:extLst>
                      <a:ext uri="{FF2B5EF4-FFF2-40B4-BE49-F238E27FC236}">
                        <a16:creationId xmlns:a16="http://schemas.microsoft.com/office/drawing/2014/main" id="{00000000-0008-0000-0100-00000C020000}"/>
                      </a:ext>
                    </a:extLst>
                  </xdr:cNvPr>
                  <xdr:cNvGrpSpPr/>
                </xdr:nvGrpSpPr>
                <xdr:grpSpPr>
                  <a:xfrm>
                    <a:off x="7148021" y="2560338"/>
                    <a:ext cx="2797009" cy="1026868"/>
                    <a:chOff x="7315134" y="2520185"/>
                    <a:chExt cx="2783488" cy="1006687"/>
                  </a:xfrm>
                </xdr:grpSpPr>
                <xdr:grpSp>
                  <xdr:nvGrpSpPr>
                    <xdr:cNvPr id="531" name="Group 530">
                      <a:extLst>
                        <a:ext uri="{FF2B5EF4-FFF2-40B4-BE49-F238E27FC236}">
                          <a16:creationId xmlns:a16="http://schemas.microsoft.com/office/drawing/2014/main" id="{00000000-0008-0000-0100-000013020000}"/>
                        </a:ext>
                      </a:extLst>
                    </xdr:cNvPr>
                    <xdr:cNvGrpSpPr/>
                  </xdr:nvGrpSpPr>
                  <xdr:grpSpPr>
                    <a:xfrm>
                      <a:off x="7315134" y="2520185"/>
                      <a:ext cx="2783488" cy="1006687"/>
                      <a:chOff x="2855988" y="41893577"/>
                      <a:chExt cx="5580105" cy="2030537"/>
                    </a:xfrm>
                  </xdr:grpSpPr>
                  <xdr:sp macro="" textlink="">
                    <xdr:nvSpPr>
                      <xdr:cNvPr id="533" name="Rectangle: Rounded Corners 532">
                        <a:extLst>
                          <a:ext uri="{FF2B5EF4-FFF2-40B4-BE49-F238E27FC236}">
                            <a16:creationId xmlns:a16="http://schemas.microsoft.com/office/drawing/2014/main" id="{00000000-0008-0000-0100-000015020000}"/>
                          </a:ext>
                        </a:extLst>
                      </xdr:cNvPr>
                      <xdr:cNvSpPr/>
                    </xdr:nvSpPr>
                    <xdr:spPr>
                      <a:xfrm>
                        <a:off x="2986645" y="41899046"/>
                        <a:ext cx="5449448" cy="2024659"/>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4" name="Rectangle: Top Corners Rounded 533">
                        <a:extLst>
                          <a:ext uri="{FF2B5EF4-FFF2-40B4-BE49-F238E27FC236}">
                            <a16:creationId xmlns:a16="http://schemas.microsoft.com/office/drawing/2014/main" id="{00000000-0008-0000-0100-000016020000}"/>
                          </a:ext>
                        </a:extLst>
                      </xdr:cNvPr>
                      <xdr:cNvSpPr/>
                    </xdr:nvSpPr>
                    <xdr:spPr>
                      <a:xfrm rot="5400000">
                        <a:off x="4880194" y="40352613"/>
                        <a:ext cx="1790044" cy="5156636"/>
                      </a:xfrm>
                      <a:prstGeom prst="round2SameRect">
                        <a:avLst>
                          <a:gd name="adj1" fmla="val 5075"/>
                          <a:gd name="adj2" fmla="val 0"/>
                        </a:avLst>
                      </a:prstGeom>
                      <a:solidFill>
                        <a:srgbClr val="F2F055">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5" name="Rectangle: Top Corners Rounded 534">
                        <a:extLst>
                          <a:ext uri="{FF2B5EF4-FFF2-40B4-BE49-F238E27FC236}">
                            <a16:creationId xmlns:a16="http://schemas.microsoft.com/office/drawing/2014/main" id="{00000000-0008-0000-0100-000017020000}"/>
                          </a:ext>
                        </a:extLst>
                      </xdr:cNvPr>
                      <xdr:cNvSpPr/>
                    </xdr:nvSpPr>
                    <xdr:spPr>
                      <a:xfrm rot="16200000">
                        <a:off x="2054700" y="42694865"/>
                        <a:ext cx="2030537" cy="427961"/>
                      </a:xfrm>
                      <a:prstGeom prst="round2SameRect">
                        <a:avLst/>
                      </a:prstGeom>
                      <a:solidFill>
                        <a:srgbClr val="F2F055"/>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32" name="TextBox 531">
                      <a:extLst>
                        <a:ext uri="{FF2B5EF4-FFF2-40B4-BE49-F238E27FC236}">
                          <a16:creationId xmlns:a16="http://schemas.microsoft.com/office/drawing/2014/main" id="{00000000-0008-0000-0100-000014020000}"/>
                        </a:ext>
                      </a:extLst>
                    </xdr:cNvPr>
                    <xdr:cNvSpPr txBox="1"/>
                  </xdr:nvSpPr>
                  <xdr:spPr>
                    <a:xfrm>
                      <a:off x="8338465" y="3237230"/>
                      <a:ext cx="967030" cy="2225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rgbClr val="312B57"/>
                          </a:solidFill>
                          <a:latin typeface="Abadi" panose="020B0604020104020204" pitchFamily="34" charset="0"/>
                          <a:ea typeface="+mn-ea"/>
                          <a:cs typeface="+mn-cs"/>
                        </a:rPr>
                        <a:t>Pending Fees</a:t>
                      </a:r>
                    </a:p>
                  </xdr:txBody>
                </xdr:sp>
              </xdr:grpSp>
              <xdr:grpSp>
                <xdr:nvGrpSpPr>
                  <xdr:cNvPr id="525" name="Group 524">
                    <a:extLst>
                      <a:ext uri="{FF2B5EF4-FFF2-40B4-BE49-F238E27FC236}">
                        <a16:creationId xmlns:a16="http://schemas.microsoft.com/office/drawing/2014/main" id="{00000000-0008-0000-0100-00000D020000}"/>
                      </a:ext>
                    </a:extLst>
                  </xdr:cNvPr>
                  <xdr:cNvGrpSpPr/>
                </xdr:nvGrpSpPr>
                <xdr:grpSpPr>
                  <a:xfrm>
                    <a:off x="10454466" y="2562636"/>
                    <a:ext cx="2797527" cy="1022273"/>
                    <a:chOff x="10705210" y="2522437"/>
                    <a:chExt cx="2784003" cy="1002183"/>
                  </a:xfrm>
                </xdr:grpSpPr>
                <xdr:grpSp>
                  <xdr:nvGrpSpPr>
                    <xdr:cNvPr id="526" name="Group 525">
                      <a:extLst>
                        <a:ext uri="{FF2B5EF4-FFF2-40B4-BE49-F238E27FC236}">
                          <a16:creationId xmlns:a16="http://schemas.microsoft.com/office/drawing/2014/main" id="{00000000-0008-0000-0100-00000E020000}"/>
                        </a:ext>
                      </a:extLst>
                    </xdr:cNvPr>
                    <xdr:cNvGrpSpPr/>
                  </xdr:nvGrpSpPr>
                  <xdr:grpSpPr>
                    <a:xfrm>
                      <a:off x="10705210" y="2522437"/>
                      <a:ext cx="2784003" cy="1002183"/>
                      <a:chOff x="2855988" y="41893577"/>
                      <a:chExt cx="5580105" cy="2030537"/>
                    </a:xfrm>
                  </xdr:grpSpPr>
                  <xdr:sp macro="" textlink="">
                    <xdr:nvSpPr>
                      <xdr:cNvPr id="528" name="Rectangle: Rounded Corners 527">
                        <a:extLst>
                          <a:ext uri="{FF2B5EF4-FFF2-40B4-BE49-F238E27FC236}">
                            <a16:creationId xmlns:a16="http://schemas.microsoft.com/office/drawing/2014/main" id="{00000000-0008-0000-0100-000010020000}"/>
                          </a:ext>
                        </a:extLst>
                      </xdr:cNvPr>
                      <xdr:cNvSpPr/>
                    </xdr:nvSpPr>
                    <xdr:spPr>
                      <a:xfrm>
                        <a:off x="2986645" y="41899045"/>
                        <a:ext cx="5449448" cy="2020898"/>
                      </a:xfrm>
                      <a:prstGeom prst="roundRect">
                        <a:avLst>
                          <a:gd name="adj" fmla="val 581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29" name="Rectangle: Top Corners Rounded 528">
                        <a:extLst>
                          <a:ext uri="{FF2B5EF4-FFF2-40B4-BE49-F238E27FC236}">
                            <a16:creationId xmlns:a16="http://schemas.microsoft.com/office/drawing/2014/main" id="{00000000-0008-0000-0100-000011020000}"/>
                          </a:ext>
                        </a:extLst>
                      </xdr:cNvPr>
                      <xdr:cNvSpPr/>
                    </xdr:nvSpPr>
                    <xdr:spPr>
                      <a:xfrm rot="5400000">
                        <a:off x="4880193" y="40352612"/>
                        <a:ext cx="1790043" cy="5156636"/>
                      </a:xfrm>
                      <a:prstGeom prst="round2SameRect">
                        <a:avLst>
                          <a:gd name="adj1" fmla="val 5075"/>
                          <a:gd name="adj2" fmla="val 0"/>
                        </a:avLst>
                      </a:prstGeom>
                      <a:solidFill>
                        <a:srgbClr val="F28282">
                          <a:alpha val="10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0" name="Rectangle: Top Corners Rounded 529">
                        <a:extLst>
                          <a:ext uri="{FF2B5EF4-FFF2-40B4-BE49-F238E27FC236}">
                            <a16:creationId xmlns:a16="http://schemas.microsoft.com/office/drawing/2014/main" id="{00000000-0008-0000-0100-000012020000}"/>
                          </a:ext>
                        </a:extLst>
                      </xdr:cNvPr>
                      <xdr:cNvSpPr/>
                    </xdr:nvSpPr>
                    <xdr:spPr>
                      <a:xfrm rot="16200000">
                        <a:off x="2054700" y="42694865"/>
                        <a:ext cx="2030537" cy="427961"/>
                      </a:xfrm>
                      <a:prstGeom prst="round2SameRect">
                        <a:avLst/>
                      </a:prstGeom>
                      <a:solidFill>
                        <a:srgbClr val="F28282"/>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27" name="TextBox 526">
                      <a:extLst>
                        <a:ext uri="{FF2B5EF4-FFF2-40B4-BE49-F238E27FC236}">
                          <a16:creationId xmlns:a16="http://schemas.microsoft.com/office/drawing/2014/main" id="{00000000-0008-0000-0100-00000F020000}"/>
                        </a:ext>
                      </a:extLst>
                    </xdr:cNvPr>
                    <xdr:cNvSpPr txBox="1"/>
                  </xdr:nvSpPr>
                  <xdr:spPr>
                    <a:xfrm>
                      <a:off x="11810580" y="3227994"/>
                      <a:ext cx="959976" cy="2409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000">
                          <a:solidFill>
                            <a:srgbClr val="312B57"/>
                          </a:solidFill>
                          <a:latin typeface="Abadi" panose="020B0604020104020204" pitchFamily="34" charset="0"/>
                          <a:ea typeface="+mn-ea"/>
                          <a:cs typeface="+mn-cs"/>
                        </a:rPr>
                        <a:t>Missing Fees</a:t>
                      </a:r>
                    </a:p>
                  </xdr:txBody>
                </xdr:sp>
              </xdr:grpSp>
            </xdr:grpSp>
          </xdr:grpSp>
          <xdr:sp macro="" textlink="">
            <xdr:nvSpPr>
              <xdr:cNvPr id="517" name="TextBox 516">
                <a:hlinkClick xmlns:r="http://schemas.openxmlformats.org/officeDocument/2006/relationships" r:id="rId7"/>
                <a:extLst>
                  <a:ext uri="{FF2B5EF4-FFF2-40B4-BE49-F238E27FC236}">
                    <a16:creationId xmlns:a16="http://schemas.microsoft.com/office/drawing/2014/main" id="{00000000-0008-0000-0100-000005020000}"/>
                  </a:ext>
                </a:extLst>
              </xdr:cNvPr>
              <xdr:cNvSpPr txBox="1"/>
            </xdr:nvSpPr>
            <xdr:spPr>
              <a:xfrm>
                <a:off x="17468929" y="3232970"/>
                <a:ext cx="1072460" cy="3914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b="1" spc="300" baseline="0">
                    <a:solidFill>
                      <a:srgbClr val="312B57"/>
                    </a:solidFill>
                    <a:latin typeface="Comic Sans MS" panose="030F0702030302020204" pitchFamily="66" charset="0"/>
                  </a:rPr>
                  <a:t>IX</a:t>
                </a:r>
              </a:p>
            </xdr:txBody>
          </xdr:sp>
          <xdr:sp macro="" textlink="">
            <xdr:nvSpPr>
              <xdr:cNvPr id="518" name="TextBox 517">
                <a:hlinkClick xmlns:r="http://schemas.openxmlformats.org/officeDocument/2006/relationships" r:id="rId12"/>
                <a:extLst>
                  <a:ext uri="{FF2B5EF4-FFF2-40B4-BE49-F238E27FC236}">
                    <a16:creationId xmlns:a16="http://schemas.microsoft.com/office/drawing/2014/main" id="{00000000-0008-0000-0100-000006020000}"/>
                  </a:ext>
                </a:extLst>
              </xdr:cNvPr>
              <xdr:cNvSpPr txBox="1"/>
            </xdr:nvSpPr>
            <xdr:spPr>
              <a:xfrm>
                <a:off x="18952843" y="3224517"/>
                <a:ext cx="1070004" cy="391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b="1" spc="300" baseline="0">
                    <a:solidFill>
                      <a:srgbClr val="312B57"/>
                    </a:solidFill>
                    <a:latin typeface="Comic Sans MS" panose="030F0702030302020204" pitchFamily="66" charset="0"/>
                  </a:rPr>
                  <a:t>X</a:t>
                </a:r>
              </a:p>
            </xdr:txBody>
          </xdr:sp>
        </xdr:grpSp>
        <xdr:grpSp>
          <xdr:nvGrpSpPr>
            <xdr:cNvPr id="508" name="Group 507">
              <a:extLst>
                <a:ext uri="{FF2B5EF4-FFF2-40B4-BE49-F238E27FC236}">
                  <a16:creationId xmlns:a16="http://schemas.microsoft.com/office/drawing/2014/main" id="{00000000-0008-0000-0100-0000FC010000}"/>
                </a:ext>
              </a:extLst>
            </xdr:cNvPr>
            <xdr:cNvGrpSpPr/>
          </xdr:nvGrpSpPr>
          <xdr:grpSpPr>
            <a:xfrm>
              <a:off x="867915" y="950763"/>
              <a:ext cx="14801016" cy="1486900"/>
              <a:chOff x="867915" y="950763"/>
              <a:chExt cx="14801016" cy="1486900"/>
            </a:xfrm>
          </xdr:grpSpPr>
          <xdr:grpSp>
            <xdr:nvGrpSpPr>
              <xdr:cNvPr id="509" name="Group 508">
                <a:extLst>
                  <a:ext uri="{FF2B5EF4-FFF2-40B4-BE49-F238E27FC236}">
                    <a16:creationId xmlns:a16="http://schemas.microsoft.com/office/drawing/2014/main" id="{00000000-0008-0000-0100-0000FD010000}"/>
                  </a:ext>
                </a:extLst>
              </xdr:cNvPr>
              <xdr:cNvGrpSpPr/>
            </xdr:nvGrpSpPr>
            <xdr:grpSpPr>
              <a:xfrm>
                <a:off x="1130629" y="1986106"/>
                <a:ext cx="14538302" cy="451557"/>
                <a:chOff x="1121722" y="1846933"/>
                <a:chExt cx="14663929" cy="409805"/>
              </a:xfrm>
            </xdr:grpSpPr>
            <xdr:sp macro="" textlink="FinalAnalysis!D46">
              <xdr:nvSpPr>
                <xdr:cNvPr id="512" name="TextBox 511">
                  <a:extLst>
                    <a:ext uri="{FF2B5EF4-FFF2-40B4-BE49-F238E27FC236}">
                      <a16:creationId xmlns:a16="http://schemas.microsoft.com/office/drawing/2014/main" id="{00000000-0008-0000-0100-000000020000}"/>
                    </a:ext>
                  </a:extLst>
                </xdr:cNvPr>
                <xdr:cNvSpPr txBox="1"/>
              </xdr:nvSpPr>
              <xdr:spPr>
                <a:xfrm>
                  <a:off x="1121722" y="1863663"/>
                  <a:ext cx="2134120" cy="376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7FDBA3CF-B52F-4B7B-B52A-13A0E70EC33E}" type="TxLink">
                    <a:rPr lang="en-US" sz="2400" b="1" i="0" u="none" strike="noStrike">
                      <a:solidFill>
                        <a:srgbClr val="312B57"/>
                      </a:solidFill>
                      <a:latin typeface="Calisto MT" panose="02040603050505030304" pitchFamily="18" charset="0"/>
                      <a:ea typeface="+mn-ea"/>
                      <a:cs typeface="+mn-cs"/>
                    </a:rPr>
                    <a:pPr marL="0" indent="0" algn="ctr"/>
                    <a:t>₹24,76,250.00 </a:t>
                  </a:fld>
                  <a:endParaRPr lang="en-US" sz="2400" b="1" i="0" u="none" strike="noStrike">
                    <a:solidFill>
                      <a:srgbClr val="312B57"/>
                    </a:solidFill>
                    <a:latin typeface="Calisto MT" panose="02040603050505030304" pitchFamily="18" charset="0"/>
                    <a:ea typeface="+mn-ea"/>
                    <a:cs typeface="+mn-cs"/>
                  </a:endParaRPr>
                </a:p>
              </xdr:txBody>
            </xdr:sp>
            <xdr:sp macro="" textlink="FinalAnalysis!F46">
              <xdr:nvSpPr>
                <xdr:cNvPr id="513" name="TextBox 512">
                  <a:extLst>
                    <a:ext uri="{FF2B5EF4-FFF2-40B4-BE49-F238E27FC236}">
                      <a16:creationId xmlns:a16="http://schemas.microsoft.com/office/drawing/2014/main" id="{00000000-0008-0000-0100-000001020000}"/>
                    </a:ext>
                  </a:extLst>
                </xdr:cNvPr>
                <xdr:cNvSpPr txBox="1"/>
              </xdr:nvSpPr>
              <xdr:spPr>
                <a:xfrm>
                  <a:off x="5583409" y="1860431"/>
                  <a:ext cx="1696220" cy="382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FEED0DAD-9165-4546-8E8B-B73701CD039E}" type="TxLink">
                    <a:rPr lang="en-US" sz="2400" b="1" i="0" u="none" strike="noStrike">
                      <a:solidFill>
                        <a:srgbClr val="312B57"/>
                      </a:solidFill>
                      <a:latin typeface="Calisto MT" panose="02040603050505030304" pitchFamily="18" charset="0"/>
                      <a:ea typeface="+mn-ea"/>
                      <a:cs typeface="+mn-cs"/>
                    </a:rPr>
                    <a:pPr marL="0" indent="0" algn="ctr"/>
                    <a:t>₹17,73,775.00 </a:t>
                  </a:fld>
                  <a:endParaRPr lang="en-IN" sz="2400" b="1" i="0" u="none" strike="noStrike">
                    <a:solidFill>
                      <a:srgbClr val="312B57"/>
                    </a:solidFill>
                    <a:latin typeface="Calisto MT" panose="02040603050505030304" pitchFamily="18" charset="0"/>
                    <a:ea typeface="+mn-ea"/>
                    <a:cs typeface="+mn-cs"/>
                  </a:endParaRPr>
                </a:p>
              </xdr:txBody>
            </xdr:sp>
            <xdr:sp macro="" textlink="FinalAnalysis!G46">
              <xdr:nvSpPr>
                <xdr:cNvPr id="514" name="TextBox 513">
                  <a:extLst>
                    <a:ext uri="{FF2B5EF4-FFF2-40B4-BE49-F238E27FC236}">
                      <a16:creationId xmlns:a16="http://schemas.microsoft.com/office/drawing/2014/main" id="{00000000-0008-0000-0100-000002020000}"/>
                    </a:ext>
                  </a:extLst>
                </xdr:cNvPr>
                <xdr:cNvSpPr txBox="1"/>
              </xdr:nvSpPr>
              <xdr:spPr>
                <a:xfrm>
                  <a:off x="9481845" y="1846933"/>
                  <a:ext cx="2094671" cy="4098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A02E6DCB-C822-425E-A773-5F9EFDEA27D6}" type="TxLink">
                    <a:rPr lang="en-US" sz="2400" b="1" i="0" u="none" strike="noStrike">
                      <a:solidFill>
                        <a:srgbClr val="312B57"/>
                      </a:solidFill>
                      <a:latin typeface="Calisto MT" panose="02040603050505030304" pitchFamily="18" charset="0"/>
                      <a:ea typeface="+mn-ea"/>
                      <a:cs typeface="+mn-cs"/>
                    </a:rPr>
                    <a:pPr marL="0" indent="0" algn="ctr"/>
                    <a:t>₹7,02,475.00 </a:t>
                  </a:fld>
                  <a:endParaRPr lang="en-IN" sz="2400" b="1" i="0" u="none" strike="noStrike">
                    <a:solidFill>
                      <a:srgbClr val="312B57"/>
                    </a:solidFill>
                    <a:latin typeface="Calisto MT" panose="02040603050505030304" pitchFamily="18" charset="0"/>
                    <a:ea typeface="+mn-ea"/>
                    <a:cs typeface="+mn-cs"/>
                  </a:endParaRPr>
                </a:p>
              </xdr:txBody>
            </xdr:sp>
            <xdr:sp macro="" textlink="FinalAnalysis!C46">
              <xdr:nvSpPr>
                <xdr:cNvPr id="515" name="TextBox 514">
                  <a:extLst>
                    <a:ext uri="{FF2B5EF4-FFF2-40B4-BE49-F238E27FC236}">
                      <a16:creationId xmlns:a16="http://schemas.microsoft.com/office/drawing/2014/main" id="{00000000-0008-0000-0100-000003020000}"/>
                    </a:ext>
                  </a:extLst>
                </xdr:cNvPr>
                <xdr:cNvSpPr txBox="1"/>
              </xdr:nvSpPr>
              <xdr:spPr>
                <a:xfrm>
                  <a:off x="13761816" y="1846933"/>
                  <a:ext cx="2023835" cy="4098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D595B63F-C9A0-4B05-8F76-BD589727F6BF}" type="TxLink">
                    <a:rPr lang="en-US" sz="2400" b="1" i="0" u="none" strike="noStrike">
                      <a:solidFill>
                        <a:srgbClr val="312B57"/>
                      </a:solidFill>
                      <a:latin typeface="Calisto MT" panose="02040603050505030304" pitchFamily="18" charset="0"/>
                      <a:ea typeface="+mn-ea"/>
                      <a:cs typeface="+mn-cs"/>
                    </a:rPr>
                    <a:pPr marL="0" indent="0" algn="ctr"/>
                    <a:t>₹1,06,500.00 </a:t>
                  </a:fld>
                  <a:endParaRPr lang="en-IN" sz="2400" b="1" i="0" u="none" strike="noStrike">
                    <a:solidFill>
                      <a:srgbClr val="312B57"/>
                    </a:solidFill>
                    <a:latin typeface="Calisto MT" panose="02040603050505030304" pitchFamily="18" charset="0"/>
                    <a:ea typeface="+mn-ea"/>
                    <a:cs typeface="+mn-cs"/>
                  </a:endParaRPr>
                </a:p>
              </xdr:txBody>
            </xdr:sp>
          </xdr:grpSp>
          <xdr:sp macro="" textlink="">
            <xdr:nvSpPr>
              <xdr:cNvPr id="510" name="TextBox 509">
                <a:extLst>
                  <a:ext uri="{FF2B5EF4-FFF2-40B4-BE49-F238E27FC236}">
                    <a16:creationId xmlns:a16="http://schemas.microsoft.com/office/drawing/2014/main" id="{00000000-0008-0000-0100-0000FE010000}"/>
                  </a:ext>
                </a:extLst>
              </xdr:cNvPr>
              <xdr:cNvSpPr txBox="1"/>
            </xdr:nvSpPr>
            <xdr:spPr>
              <a:xfrm>
                <a:off x="867915" y="950763"/>
                <a:ext cx="4822865" cy="3248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badi" panose="020B0604020104020204" pitchFamily="34" charset="0"/>
                  </a:rPr>
                  <a:t>Welcome to NLMA, </a:t>
                </a:r>
              </a:p>
            </xdr:txBody>
          </xdr:sp>
          <xdr:sp macro="" textlink="">
            <xdr:nvSpPr>
              <xdr:cNvPr id="511" name="TextBox 510">
                <a:extLst>
                  <a:ext uri="{FF2B5EF4-FFF2-40B4-BE49-F238E27FC236}">
                    <a16:creationId xmlns:a16="http://schemas.microsoft.com/office/drawing/2014/main" id="{00000000-0008-0000-0100-0000FF010000}"/>
                  </a:ext>
                </a:extLst>
              </xdr:cNvPr>
              <xdr:cNvSpPr txBox="1"/>
            </xdr:nvSpPr>
            <xdr:spPr>
              <a:xfrm>
                <a:off x="2522526" y="1224226"/>
                <a:ext cx="2919124" cy="345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a:solidFill>
                      <a:schemeClr val="bg1"/>
                    </a:solidFill>
                    <a:latin typeface="Abadi" panose="020B0604020104020204" pitchFamily="34" charset="0"/>
                  </a:rPr>
                  <a:t>You are viewing the report for</a:t>
                </a:r>
                <a:r>
                  <a:rPr lang="en-IN" sz="1600" baseline="0">
                    <a:solidFill>
                      <a:schemeClr val="bg1"/>
                    </a:solidFill>
                    <a:latin typeface="Abadi" panose="020B0604020104020204" pitchFamily="34" charset="0"/>
                  </a:rPr>
                  <a:t> </a:t>
                </a:r>
                <a:r>
                  <a:rPr lang="en-IN" sz="1600">
                    <a:solidFill>
                      <a:schemeClr val="bg1"/>
                    </a:solidFill>
                    <a:latin typeface="Abadi" panose="020B0604020104020204" pitchFamily="34" charset="0"/>
                  </a:rPr>
                  <a:t> </a:t>
                </a:r>
              </a:p>
            </xdr:txBody>
          </xdr:sp>
        </xdr:grpSp>
      </xdr:grpSp>
      <xdr:sp macro="" textlink="FinalAnalysis!J46">
        <xdr:nvSpPr>
          <xdr:cNvPr id="504" name="TextBox 503">
            <a:extLst>
              <a:ext uri="{FF2B5EF4-FFF2-40B4-BE49-F238E27FC236}">
                <a16:creationId xmlns:a16="http://schemas.microsoft.com/office/drawing/2014/main" id="{00000000-0008-0000-0100-0000F8010000}"/>
              </a:ext>
            </a:extLst>
          </xdr:cNvPr>
          <xdr:cNvSpPr txBox="1"/>
        </xdr:nvSpPr>
        <xdr:spPr>
          <a:xfrm>
            <a:off x="17305784" y="2069561"/>
            <a:ext cx="724864" cy="618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noAutofit/>
          </a:bodyPr>
          <a:lstStyle/>
          <a:p>
            <a:pPr marL="0" indent="0" algn="ctr"/>
            <a:fld id="{FE07EEB9-FD49-41A6-BE19-AF579B65B5FD}" type="TxLink">
              <a:rPr lang="en-US" sz="2400" b="1" i="0" u="none" strike="noStrike">
                <a:solidFill>
                  <a:srgbClr val="312B57"/>
                </a:solidFill>
                <a:latin typeface="Calisto MT" panose="02040603050505030304" pitchFamily="18" charset="0"/>
                <a:ea typeface="+mn-ea"/>
                <a:cs typeface="+mn-cs"/>
              </a:rPr>
              <a:pPr marL="0" indent="0" algn="ctr"/>
              <a:t>121</a:t>
            </a:fld>
            <a:endParaRPr lang="en-US" sz="2400" b="1" i="0" u="none" strike="noStrike">
              <a:solidFill>
                <a:srgbClr val="312B57"/>
              </a:solidFill>
              <a:latin typeface="Calisto MT" panose="02040603050505030304" pitchFamily="18" charset="0"/>
              <a:ea typeface="+mn-ea"/>
              <a:cs typeface="+mn-cs"/>
            </a:endParaRPr>
          </a:p>
        </xdr:txBody>
      </xdr:sp>
      <xdr:sp macro="" textlink="FinalAnalysis!H46">
        <xdr:nvSpPr>
          <xdr:cNvPr id="505" name="TextBox 504">
            <a:extLst>
              <a:ext uri="{FF2B5EF4-FFF2-40B4-BE49-F238E27FC236}">
                <a16:creationId xmlns:a16="http://schemas.microsoft.com/office/drawing/2014/main" id="{00000000-0008-0000-0100-0000F9010000}"/>
              </a:ext>
            </a:extLst>
          </xdr:cNvPr>
          <xdr:cNvSpPr txBox="1"/>
        </xdr:nvSpPr>
        <xdr:spPr>
          <a:xfrm>
            <a:off x="19207700" y="1796678"/>
            <a:ext cx="670909" cy="405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FC289FB-AF39-446D-A7DE-2F9AE48498BE}" type="TxLink">
              <a:rPr lang="en-US" sz="1800" b="1" i="0" u="none" strike="noStrike">
                <a:solidFill>
                  <a:srgbClr val="312B57"/>
                </a:solidFill>
                <a:latin typeface="Calisto MT" panose="02040603050505030304" pitchFamily="18" charset="0"/>
                <a:ea typeface="+mn-ea"/>
                <a:cs typeface="+mn-cs"/>
              </a:rPr>
              <a:pPr marL="0" indent="0"/>
              <a:t>60</a:t>
            </a:fld>
            <a:endParaRPr lang="en-IN" sz="1800" b="1" i="0" u="none" strike="noStrike">
              <a:solidFill>
                <a:srgbClr val="312B57"/>
              </a:solidFill>
              <a:latin typeface="Calisto MT" panose="02040603050505030304" pitchFamily="18" charset="0"/>
              <a:ea typeface="+mn-ea"/>
              <a:cs typeface="+mn-cs"/>
            </a:endParaRPr>
          </a:p>
        </xdr:txBody>
      </xdr:sp>
      <xdr:sp macro="" textlink="FinalAnalysis!I46">
        <xdr:nvSpPr>
          <xdr:cNvPr id="506" name="TextBox 505">
            <a:extLst>
              <a:ext uri="{FF2B5EF4-FFF2-40B4-BE49-F238E27FC236}">
                <a16:creationId xmlns:a16="http://schemas.microsoft.com/office/drawing/2014/main" id="{00000000-0008-0000-0100-0000FA010000}"/>
              </a:ext>
            </a:extLst>
          </xdr:cNvPr>
          <xdr:cNvSpPr txBox="1"/>
        </xdr:nvSpPr>
        <xdr:spPr>
          <a:xfrm>
            <a:off x="19213548" y="2347947"/>
            <a:ext cx="670909" cy="40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37CB708-20AB-496B-8F0A-21DDEAAE6D5D}" type="TxLink">
              <a:rPr lang="en-US" sz="1800" b="1" i="0" u="none" strike="noStrike">
                <a:solidFill>
                  <a:srgbClr val="312B57"/>
                </a:solidFill>
                <a:latin typeface="Calisto MT" panose="02040603050505030304" pitchFamily="18" charset="0"/>
                <a:ea typeface="+mn-ea"/>
                <a:cs typeface="+mn-cs"/>
              </a:rPr>
              <a:pPr marL="0" indent="0"/>
              <a:t>61</a:t>
            </a:fld>
            <a:endParaRPr lang="en-IN" sz="1800" b="1" i="0" u="none" strike="noStrike">
              <a:solidFill>
                <a:srgbClr val="312B57"/>
              </a:solidFill>
              <a:latin typeface="Calisto MT" panose="02040603050505030304" pitchFamily="18" charset="0"/>
              <a:ea typeface="+mn-ea"/>
              <a:cs typeface="+mn-cs"/>
            </a:endParaRPr>
          </a:p>
        </xdr:txBody>
      </xdr:sp>
    </xdr:grpSp>
    <xdr:clientData/>
  </xdr:twoCellAnchor>
  <xdr:twoCellAnchor>
    <xdr:from>
      <xdr:col>15</xdr:col>
      <xdr:colOff>744899</xdr:colOff>
      <xdr:row>5</xdr:row>
      <xdr:rowOff>54324</xdr:rowOff>
    </xdr:from>
    <xdr:to>
      <xdr:col>16</xdr:col>
      <xdr:colOff>673694</xdr:colOff>
      <xdr:row>7</xdr:row>
      <xdr:rowOff>5845</xdr:rowOff>
    </xdr:to>
    <xdr:sp macro="" textlink="">
      <xdr:nvSpPr>
        <xdr:cNvPr id="210" name="Rectangle: Rounded Corners 209">
          <a:hlinkClick xmlns:r="http://schemas.openxmlformats.org/officeDocument/2006/relationships" r:id="rId13"/>
          <a:extLst>
            <a:ext uri="{FF2B5EF4-FFF2-40B4-BE49-F238E27FC236}">
              <a16:creationId xmlns:a16="http://schemas.microsoft.com/office/drawing/2014/main" id="{00000000-0008-0000-0100-0000D2000000}"/>
            </a:ext>
          </a:extLst>
        </xdr:cNvPr>
        <xdr:cNvSpPr/>
      </xdr:nvSpPr>
      <xdr:spPr>
        <a:xfrm>
          <a:off x="16105330" y="984927"/>
          <a:ext cx="1373967" cy="323763"/>
        </a:xfrm>
        <a:prstGeom prst="roundRect">
          <a:avLst/>
        </a:prstGeom>
        <a:solidFill>
          <a:srgbClr val="57A197">
            <a:alpha val="59000"/>
          </a:srgb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10948</xdr:colOff>
      <xdr:row>6</xdr:row>
      <xdr:rowOff>186118</xdr:rowOff>
    </xdr:from>
    <xdr:to>
      <xdr:col>5</xdr:col>
      <xdr:colOff>46816</xdr:colOff>
      <xdr:row>8</xdr:row>
      <xdr:rowOff>159739</xdr:rowOff>
    </xdr:to>
    <xdr:sp macro="" textlink="FinalAnalysis!C30">
      <xdr:nvSpPr>
        <xdr:cNvPr id="212" name="TextBox 211">
          <a:extLst>
            <a:ext uri="{FF2B5EF4-FFF2-40B4-BE49-F238E27FC236}">
              <a16:creationId xmlns:a16="http://schemas.microsoft.com/office/drawing/2014/main" id="{00000000-0008-0000-0100-0000D4000000}"/>
            </a:ext>
          </a:extLst>
        </xdr:cNvPr>
        <xdr:cNvSpPr txBox="1"/>
      </xdr:nvSpPr>
      <xdr:spPr>
        <a:xfrm>
          <a:off x="5353707" y="1302842"/>
          <a:ext cx="2280264" cy="345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933EE3D1-12C7-42F5-B0CF-9A39DDD649CE}" type="TxLink">
            <a:rPr lang="en-US" sz="1600" b="0" i="0" u="none" strike="noStrike">
              <a:solidFill>
                <a:schemeClr val="bg1">
                  <a:lumMod val="95000"/>
                </a:schemeClr>
              </a:solidFill>
              <a:latin typeface="Abadi" panose="020B0604020104020204" pitchFamily="34" charset="0"/>
              <a:ea typeface="+mn-ea"/>
              <a:cs typeface="+mn-cs"/>
            </a:rPr>
            <a:pPr marL="0" indent="0"/>
            <a:t>Overall</a:t>
          </a:fld>
          <a:endParaRPr lang="en-IN" sz="1600" b="0">
            <a:solidFill>
              <a:schemeClr val="bg1">
                <a:lumMod val="95000"/>
              </a:schemeClr>
            </a:solidFill>
            <a:latin typeface="Abadi" panose="020B0604020104020204" pitchFamily="34" charset="0"/>
            <a:ea typeface="+mn-ea"/>
            <a:cs typeface="+mn-cs"/>
          </a:endParaRPr>
        </a:p>
      </xdr:txBody>
    </xdr:sp>
    <xdr:clientData/>
  </xdr:twoCellAnchor>
  <xdr:twoCellAnchor>
    <xdr:from>
      <xdr:col>15</xdr:col>
      <xdr:colOff>21897</xdr:colOff>
      <xdr:row>0</xdr:row>
      <xdr:rowOff>10949</xdr:rowOff>
    </xdr:from>
    <xdr:to>
      <xdr:col>22</xdr:col>
      <xdr:colOff>269664</xdr:colOff>
      <xdr:row>3</xdr:row>
      <xdr:rowOff>137650</xdr:rowOff>
    </xdr:to>
    <xdr:grpSp>
      <xdr:nvGrpSpPr>
        <xdr:cNvPr id="214" name="Group 213">
          <a:extLst>
            <a:ext uri="{FF2B5EF4-FFF2-40B4-BE49-F238E27FC236}">
              <a16:creationId xmlns:a16="http://schemas.microsoft.com/office/drawing/2014/main" id="{00000000-0008-0000-0100-0000D6000000}"/>
            </a:ext>
          </a:extLst>
        </xdr:cNvPr>
        <xdr:cNvGrpSpPr/>
      </xdr:nvGrpSpPr>
      <xdr:grpSpPr>
        <a:xfrm>
          <a:off x="15382328" y="10949"/>
          <a:ext cx="4780353" cy="685063"/>
          <a:chOff x="16864864" y="1726096"/>
          <a:chExt cx="4780353" cy="685063"/>
        </a:xfrm>
      </xdr:grpSpPr>
      <mc:AlternateContent xmlns:mc="http://schemas.openxmlformats.org/markup-compatibility/2006" xmlns:a14="http://schemas.microsoft.com/office/drawing/2010/main">
        <mc:Choice Requires="a14">
          <xdr:graphicFrame macro="">
            <xdr:nvGraphicFramePr>
              <xdr:cNvPr id="215" name="Academic Year 4">
                <a:extLst>
                  <a:ext uri="{FF2B5EF4-FFF2-40B4-BE49-F238E27FC236}">
                    <a16:creationId xmlns:a16="http://schemas.microsoft.com/office/drawing/2014/main" id="{00000000-0008-0000-0100-0000D7000000}"/>
                  </a:ext>
                </a:extLst>
              </xdr:cNvPr>
              <xdr:cNvGraphicFramePr/>
            </xdr:nvGraphicFramePr>
            <xdr:xfrm>
              <a:off x="16933333" y="1791786"/>
              <a:ext cx="4711884" cy="619373"/>
            </xdr:xfrm>
            <a:graphic>
              <a:graphicData uri="http://schemas.microsoft.com/office/drawing/2010/slicer">
                <sle:slicer xmlns:sle="http://schemas.microsoft.com/office/drawing/2010/slicer" name="Academic Year 4"/>
              </a:graphicData>
            </a:graphic>
          </xdr:graphicFrame>
        </mc:Choice>
        <mc:Fallback xmlns="">
          <xdr:sp macro="" textlink="">
            <xdr:nvSpPr>
              <xdr:cNvPr id="0" name=""/>
              <xdr:cNvSpPr>
                <a:spLocks noTextEdit="1"/>
              </xdr:cNvSpPr>
            </xdr:nvSpPr>
            <xdr:spPr>
              <a:xfrm>
                <a:off x="15450797" y="76639"/>
                <a:ext cx="4711884" cy="6193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16" name="Rectangle: Rounded Corners 215">
            <a:extLst>
              <a:ext uri="{FF2B5EF4-FFF2-40B4-BE49-F238E27FC236}">
                <a16:creationId xmlns:a16="http://schemas.microsoft.com/office/drawing/2014/main" id="{00000000-0008-0000-0100-0000D8000000}"/>
              </a:ext>
            </a:extLst>
          </xdr:cNvPr>
          <xdr:cNvSpPr/>
        </xdr:nvSpPr>
        <xdr:spPr>
          <a:xfrm>
            <a:off x="16864864" y="1726096"/>
            <a:ext cx="4205125" cy="326150"/>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fLocksWithSheet="0"/>
  </xdr:twoCellAnchor>
  <xdr:twoCellAnchor>
    <xdr:from>
      <xdr:col>15</xdr:col>
      <xdr:colOff>76638</xdr:colOff>
      <xdr:row>0</xdr:row>
      <xdr:rowOff>21897</xdr:rowOff>
    </xdr:from>
    <xdr:to>
      <xdr:col>16</xdr:col>
      <xdr:colOff>954961</xdr:colOff>
      <xdr:row>1</xdr:row>
      <xdr:rowOff>160673</xdr:rowOff>
    </xdr:to>
    <xdr:sp macro="" textlink="">
      <xdr:nvSpPr>
        <xdr:cNvPr id="217" name="TextBox 216">
          <a:extLst>
            <a:ext uri="{FF2B5EF4-FFF2-40B4-BE49-F238E27FC236}">
              <a16:creationId xmlns:a16="http://schemas.microsoft.com/office/drawing/2014/main" id="{00000000-0008-0000-0100-0000D9000000}"/>
            </a:ext>
          </a:extLst>
        </xdr:cNvPr>
        <xdr:cNvSpPr txBox="1"/>
      </xdr:nvSpPr>
      <xdr:spPr>
        <a:xfrm>
          <a:off x="15437069" y="21897"/>
          <a:ext cx="2323495" cy="3248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IN" sz="1600">
              <a:solidFill>
                <a:schemeClr val="bg1"/>
              </a:solidFill>
              <a:latin typeface="Abadi" panose="020B0604020104020204" pitchFamily="34" charset="0"/>
              <a:ea typeface="+mn-ea"/>
              <a:cs typeface="+mn-cs"/>
            </a:rPr>
            <a:t>Select Academic Year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86138</xdr:colOff>
      <xdr:row>3</xdr:row>
      <xdr:rowOff>30647</xdr:rowOff>
    </xdr:from>
    <xdr:to>
      <xdr:col>13</xdr:col>
      <xdr:colOff>189579</xdr:colOff>
      <xdr:row>8</xdr:row>
      <xdr:rowOff>18406</xdr:rowOff>
    </xdr:to>
    <mc:AlternateContent xmlns:mc="http://schemas.openxmlformats.org/markup-compatibility/2006" xmlns:a14="http://schemas.microsoft.com/office/drawing/2010/main">
      <mc:Choice Requires="a14">
        <xdr:graphicFrame macro="">
          <xdr:nvGraphicFramePr>
            <xdr:cNvPr id="3" name="Academic Year">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cademic Year"/>
            </a:graphicData>
          </a:graphic>
        </xdr:graphicFrame>
      </mc:Choice>
      <mc:Fallback xmlns="">
        <xdr:sp macro="" textlink="">
          <xdr:nvSpPr>
            <xdr:cNvPr id="0" name=""/>
            <xdr:cNvSpPr>
              <a:spLocks noTextEdit="1"/>
            </xdr:cNvSpPr>
          </xdr:nvSpPr>
          <xdr:spPr>
            <a:xfrm>
              <a:off x="19580638" y="602147"/>
              <a:ext cx="1886732" cy="9402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548125</xdr:colOff>
      <xdr:row>3</xdr:row>
      <xdr:rowOff>106386</xdr:rowOff>
    </xdr:from>
    <xdr:to>
      <xdr:col>18</xdr:col>
      <xdr:colOff>9203</xdr:colOff>
      <xdr:row>7</xdr:row>
      <xdr:rowOff>55218</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13869896" y="662011"/>
          <a:ext cx="5109932" cy="689665"/>
          <a:chOff x="16864864" y="1726096"/>
          <a:chExt cx="4780353" cy="685064"/>
        </a:xfrm>
      </xdr:grpSpPr>
      <mc:AlternateContent xmlns:mc="http://schemas.openxmlformats.org/markup-compatibility/2006" xmlns:a14="http://schemas.microsoft.com/office/drawing/2010/main">
        <mc:Choice Requires="a14">
          <xdr:graphicFrame macro="">
            <xdr:nvGraphicFramePr>
              <xdr:cNvPr id="7" name="Academic Year 2">
                <a:extLst>
                  <a:ext uri="{FF2B5EF4-FFF2-40B4-BE49-F238E27FC236}">
                    <a16:creationId xmlns:a16="http://schemas.microsoft.com/office/drawing/2014/main" id="{00000000-0008-0000-0200-000007000000}"/>
                  </a:ext>
                </a:extLst>
              </xdr:cNvPr>
              <xdr:cNvGraphicFramePr/>
            </xdr:nvGraphicFramePr>
            <xdr:xfrm>
              <a:off x="16933333" y="1769996"/>
              <a:ext cx="4711884" cy="641164"/>
            </xdr:xfrm>
            <a:graphic>
              <a:graphicData uri="http://schemas.microsoft.com/office/drawing/2010/slicer">
                <sle:slicer xmlns:sle="http://schemas.microsoft.com/office/drawing/2010/slicer" name="Academic Year 2"/>
              </a:graphicData>
            </a:graphic>
          </xdr:graphicFrame>
        </mc:Choice>
        <mc:Fallback xmlns="">
          <xdr:sp macro="" textlink="">
            <xdr:nvSpPr>
              <xdr:cNvPr id="0" name=""/>
              <xdr:cNvSpPr>
                <a:spLocks noTextEdit="1"/>
              </xdr:cNvSpPr>
            </xdr:nvSpPr>
            <xdr:spPr>
              <a:xfrm>
                <a:off x="22963885" y="723437"/>
                <a:ext cx="6572818" cy="6652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16864864" y="1726096"/>
            <a:ext cx="4205125" cy="326150"/>
          </a:xfrm>
          <a:prstGeom prst="roundRect">
            <a:avLst/>
          </a:prstGeom>
          <a:solidFill>
            <a:srgbClr val="312B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44.59238101852" backgroundQuery="1" createdVersion="6" refreshedVersion="6" minRefreshableVersion="3" recordCount="121" xr:uid="{E76756A2-6447-499C-A3EA-73AA26CB0855}">
  <cacheSource type="external" connectionId="4"/>
  <cacheFields count="33">
    <cacheField name="Academic Year" numFmtId="0">
      <sharedItems count="2">
        <s v="2024-2025"/>
        <s v="Fees not entered yet"/>
      </sharedItems>
    </cacheField>
    <cacheField name="Student ID" numFmtId="0">
      <sharedItems count="122">
        <s v="NLMA01242024"/>
        <s v="NLMA01132024"/>
        <s v="NLMA00962024"/>
        <s v="NLMA01142024"/>
        <s v="NLMA01092024"/>
        <s v="NLMA01162024"/>
        <s v="NLMA01152024"/>
        <s v="NLMA01102024"/>
        <s v="NLMA01232024"/>
        <s v="NLMA01172024"/>
        <s v="NLMA01112024"/>
        <s v="NLMA01122024"/>
        <s v="NLMA01312024"/>
        <s v="NLMA00922024"/>
        <s v="NLMA00712024"/>
        <s v="NLMA00552024"/>
        <s v="NLMA00602024"/>
        <s v="NLMA00982024"/>
        <s v="NLMA00562024"/>
        <s v="NLMA00992024"/>
        <s v="NLMA00572024"/>
        <s v="NLMA00582024"/>
        <s v="NLMA00592024"/>
        <s v="NLMA00952024"/>
        <s v="NLMA00902024"/>
        <s v="NLMA00482024"/>
        <s v="NLMA00472024"/>
        <s v="NLMA00512024"/>
        <s v="NLMA00492024"/>
        <s v="NLMA01322024"/>
        <s v="NLMA00532024"/>
        <s v="NLMA00542024"/>
        <s v="NLMA00522024"/>
        <s v="NLMA01212024"/>
        <s v="NLMA00502024"/>
        <s v="NLMA00442024"/>
        <s v="NLMA00402024"/>
        <s v="NLMA00372024"/>
        <s v="NLMA00382024"/>
        <s v="NLMA00392024"/>
        <s v="NLMA00412024"/>
        <s v="NLMA00422024"/>
        <s v="NLMA00452024"/>
        <s v="NLMA00432024"/>
        <s v="NLMA00972024"/>
        <s v="NLMA00462024"/>
        <s v="NLMA01062024"/>
        <s v="NLMA01082024"/>
        <s v="NLMA01072024"/>
        <s v="NLMA00882024"/>
        <s v="NLMA00802024"/>
        <s v="NLMA00722024"/>
        <s v="NLMA00732024"/>
        <s v="NLMA00812024"/>
        <s v="NLMA00822024"/>
        <s v="NLMA00742024"/>
        <s v="NLMA00752024"/>
        <s v="NLMA00762024"/>
        <s v="NLMA01302024"/>
        <s v="NLMA00772024"/>
        <s v="NLMA00832024"/>
        <s v="NLMA01042024"/>
        <s v="NLMA00842024"/>
        <s v="NLMA00852024"/>
        <s v="NLMA00862024"/>
        <s v="NLMA00792024"/>
        <s v="NLMA01272024"/>
        <s v="NLMA01262024"/>
        <s v="NLMA01252024"/>
        <s v="NLMA00612024"/>
        <s v="NLMA00662024"/>
        <s v="NLMA00622024"/>
        <s v="NLMA00672024"/>
        <s v="NLMA01202024"/>
        <s v="NLMA00682024"/>
        <s v="NLMA01182024"/>
        <s v="NLMA01032024"/>
        <s v="NLMA01292024"/>
        <s v="NLMA00912024"/>
        <s v="NLMA00632024"/>
        <s v="NLMA00642024"/>
        <s v="NLMA00652024"/>
        <s v="NLMA00692024"/>
        <s v="NLMA00702024"/>
        <s v="NLMA01352024"/>
        <s v="NLMA01192024"/>
        <s v="NLMA01282024"/>
        <s v="NLMA00932024"/>
        <s v="NLMA01332024"/>
        <s v="NLMA00312024"/>
        <s v="NLMA00322024"/>
        <s v="NLMA00332024"/>
        <s v="NLMA00272024"/>
        <s v="NLMA00342024"/>
        <s v="NLMA00122024"/>
        <s v="NLMA00292024"/>
        <s v="NLMA00222024"/>
        <s v="NLMA00182024"/>
        <s v="NLMA00172024"/>
        <s v="NLMA00232024"/>
        <s v="NLMA00192024"/>
        <s v="NLMA00242024"/>
        <s v="NLMA00252024"/>
        <s v="NLMA00262024"/>
        <s v="NLMA00892024"/>
        <s v="NLMA00212024"/>
        <s v="NLMA01342024"/>
        <s v="NLMA00152024"/>
        <s v="NLMA00142024"/>
        <s v="NLMA00872024"/>
        <s v="NLMA00062024"/>
        <s v="NLMA00052024"/>
        <s v="NLMA01022024"/>
        <s v="NLMA01222024"/>
        <s v="NLMA00072024"/>
        <s v="NLMA00102024"/>
        <s v="NLMA00082024"/>
        <s v="NLMA00092024"/>
        <s v="NLMA01052024"/>
        <s v="NLMA00022024"/>
        <s v="NLMA00032024"/>
        <s v="NLMA00782024" u="1"/>
      </sharedItems>
    </cacheField>
    <cacheField name="Name" numFmtId="0">
      <sharedItems count="122">
        <s v="DURAI MURUGAN"/>
        <s v="ESHA ABI SRI "/>
        <s v="HARSHAD BALAN K"/>
        <s v="JASMINE"/>
        <s v="JERISH IMMANUAL "/>
        <s v="MAHA SELVI"/>
        <s v="MAHARANI"/>
        <s v="MATHESH "/>
        <s v="MITHRA"/>
        <s v="NIKITHA "/>
        <s v="PERVIN RAJ "/>
        <s v="RAMSARAN "/>
        <s v="SELVA NAMBI"/>
        <s v="SHIVASRI R"/>
        <s v="SUBALATHA "/>
        <s v="EJAI SRI"/>
        <s v="ESAI MUTHU SELVI"/>
        <s v="HARIHARASUDHAN E"/>
        <s v="KINGSON"/>
        <s v="MITHRA M"/>
        <s v="SELVA ASHWIN"/>
        <s v="SUBIN RAJA"/>
        <s v="THIRUKUMARAN"/>
        <s v="VARUN PRAJITH"/>
        <s v="VETRIBALAN"/>
        <s v="DEVA RAJA SINGAM"/>
        <s v="HARIHARASUDHAN"/>
        <s v="MAHISHA"/>
        <s v="MARISELVAM"/>
        <s v="MUVISHA"/>
        <s v="SANVIMIYA"/>
        <s v="SHIVANI"/>
        <s v="SIVA KARTHIKA"/>
        <s v="SRI HARSHIGA"/>
        <s v="SUGIDHAN"/>
        <s v="ARIYANAYAKI C"/>
        <s v="ASWIN M"/>
        <s v="DEVA VISHNU"/>
        <s v="DHANUSH S"/>
        <s v="KEITHIYON M"/>
        <s v="MUTHU MARI DHANUSH P"/>
        <s v="NITHISH"/>
        <s v="SIVA RUDRA"/>
        <s v="SRIDHAR M"/>
        <s v="THANGAVEL B"/>
        <s v="VEDISHA M"/>
        <s v="ESAKKI RAJ"/>
        <s v="HANSIKA"/>
        <s v="SRI BALAJEE"/>
        <s v="VIRUTHIMAN PONSARATHY S"/>
        <s v="AGALYA S"/>
        <s v="AHAVA TITUS R"/>
        <s v="ARWIN CHADWICK M"/>
        <s v="ESAI DHARANI K"/>
        <s v="ILAMATHI S"/>
        <s v="MARAN E"/>
        <s v="MUGILAN E"/>
        <s v="PAUL FELIX P"/>
        <s v="PAVINA SRI "/>
        <s v="SAKTHIVEL S"/>
        <s v="SARASWATHI R"/>
        <s v="SELVA LAKSHMI "/>
        <s v="SIVARANJANI G"/>
        <s v="SRIVIDHYALAKSHMI"/>
        <s v="VIJI M"/>
        <s v="VISHWA MADHESH"/>
        <s v="JEFIN MATHEUS"/>
        <s v="JHANVI SHREE"/>
        <s v="MURUGAVEL"/>
        <s v="ALAN JAMES"/>
        <s v="BALA ISHVIKA"/>
        <s v="ETHIKSHAN"/>
        <s v="INDIRAJA"/>
        <s v="JASLIN"/>
        <s v="JUDITH PHOBEYAL "/>
        <s v="KABINESH. S"/>
        <s v="KHAVISHNA M"/>
        <s v="KIRISHIKA R.S."/>
        <s v="MAKITHESH"/>
        <s v="MUKIL INIYAN"/>
        <s v="RAMANA KRISHNAN"/>
        <s v="SAM RANIAN"/>
        <s v="SANDHIYA"/>
        <s v="SANOHA GRACE . T"/>
        <s v="THEODARE WILLIAMS "/>
        <s v="UDHAYA SRI . S "/>
        <s v="VAISHNAVI"/>
        <s v="VARUN"/>
        <s v="AKANYA"/>
        <s v="DHARSHINI S"/>
        <s v="JENISHA C"/>
        <s v="MADHU ISHA"/>
        <s v="MAHESH MUTHU PANDI U"/>
        <s v="SANJANA M"/>
        <s v="SARAN RAJ"/>
        <s v="VINOTH T.S.P"/>
        <s v="ANUSHYA SELVI"/>
        <s v="ESAI SELVAN P"/>
        <s v="MUGESH M"/>
        <s v="PADMA"/>
        <s v="PRAVEEN KUMAR"/>
        <s v="PRAVEENA S "/>
        <s v="SANJANA A"/>
        <s v="SHALIN DHIYA"/>
        <s v="SRIMAHALAKSHMI U"/>
        <s v="THARKA RAJAN K"/>
        <s v="AKANSHA"/>
        <s v="INDUJA"/>
        <s v="MUTHU AARUMUGAM P"/>
        <s v="MUTHURAM L"/>
        <s v="AARUMUGAM"/>
        <s v="AMARNATH"/>
        <s v="DEEPA S"/>
        <s v="HARISH MAHA RAJA"/>
        <s v="KAJIRAVENDHAN"/>
        <s v="KARTHIKA P"/>
        <s v="KAVIN BALA"/>
        <s v="MARI SELVAM D"/>
        <s v="SELVA RAGAVAN"/>
        <s v="HARINI RASIKA"/>
        <s v="SINTHIYA"/>
        <s v="VISHNUPERUMAL E" u="1"/>
      </sharedItems>
    </cacheField>
    <cacheField name="Old Class" numFmtId="0">
      <sharedItems count="13">
        <s v="I"/>
        <s v="II"/>
        <s v="III"/>
        <s v="IV"/>
        <s v="IX"/>
        <s v="LKG"/>
        <s v="PRE-KG"/>
        <s v="UKG"/>
        <s v="V"/>
        <s v="VI"/>
        <s v="VII"/>
        <s v="VIII"/>
        <s v="X"/>
      </sharedItems>
    </cacheField>
    <cacheField name="Gender" numFmtId="0">
      <sharedItems count="2">
        <s v="Male"/>
        <s v="Female"/>
      </sharedItems>
    </cacheField>
    <cacheField name="Town" numFmtId="0">
      <sharedItems count="47">
        <s v="MELA PAPPAKUDI"/>
        <s v="PAPPAKUDI"/>
        <s v="MANNAGARAM"/>
        <s v="ODAIMARICHAN"/>
        <s v="KEELA PAPPAKUDI"/>
        <s v="PUDHUGRAMAM, PAPPAKUDI"/>
        <s v="MELA PAPPAKUDI "/>
        <s v="THIRUPANIKARISALKULAM"/>
        <s v="SENGULAM"/>
        <s v="MUKKUDAL"/>
        <s v="ODAIKARAI THULUKKAPATTI"/>
        <s v="MELA PAPPKUDI"/>
        <s v="THIRUPANI KARISALKULAM"/>
        <s v="KABALIPAARAI"/>
        <s v="SINGAMPAARAI"/>
        <s v="KUMARASAMIPURAM"/>
        <s v="KUMRASAMIYAPURAM "/>
        <s v="KALITHEERTHANPATTI"/>
        <s v="PARUTHIVAIKULAM"/>
        <s v="MYLAPURAM"/>
        <s v="O.THULUKKAPATTI"/>
        <s v="VADAKKU ARIYANAYAGIPURAM"/>
        <s v="VADAKU ARIYANAGIPURAM"/>
        <s v="KEELAPAPPAKUDI"/>
        <s v="RASHTHAVUR"/>
        <s v="MELAPAPPAKUDI"/>
        <s v="VELLIKULAM"/>
        <s v="PAPAAKUDI"/>
        <s v="INDIRA NAGAR"/>
        <s v="Not Specified"/>
        <s v="PUDHUGRAMAM"/>
        <s v="URKAADU"/>
        <s v="KEELA PAPPAKUDI "/>
        <s v="PAARUTHIVAIKULAM"/>
        <s v="NANTHANTHATTAI"/>
        <s v="MUKKUDAL "/>
        <s v="THIRUPANI KARISAL KULAM"/>
        <s v="KUMARASAMIYAPURAM"/>
        <s v="PAPPKUDI"/>
        <s v="KALITHERTHANPATTI"/>
        <s v="NADHANTHATTAI"/>
        <s v="TENKASI"/>
        <s v="PATTARPURAM"/>
        <s v="PANAYANKURICHI"/>
        <s v="PUTHUGRAMAM"/>
        <s v="KEELA PAPPKAUDI"/>
        <s v="SADAYAPAPURAM"/>
      </sharedItems>
    </cacheField>
    <cacheField name="Father's Highest Education" numFmtId="0">
      <sharedItems count="2">
        <s v="Not Specified"/>
        <s v="HSC"/>
      </sharedItems>
    </cacheField>
    <cacheField name="Mother's Highest Education" numFmtId="0">
      <sharedItems count="3">
        <s v="Not Specified"/>
        <s v="BSC MATHS BED"/>
        <s v="MA BED"/>
      </sharedItems>
    </cacheField>
    <cacheField name="Annual Fee Amount" numFmtId="0">
      <sharedItems containsSemiMixedTypes="0" containsString="0" containsNumber="1" containsInteger="1" minValue="0" maxValue="33000" count="14">
        <n v="19500"/>
        <n v="0"/>
        <n v="20500"/>
        <n v="22500"/>
        <n v="23500"/>
        <n v="31500"/>
        <n v="17000"/>
        <n v="12000"/>
        <n v="17500"/>
        <n v="24500"/>
        <n v="26000"/>
        <n v="27500"/>
        <n v="29000"/>
        <n v="33000"/>
      </sharedItems>
    </cacheField>
    <cacheField name="Term 1" numFmtId="0">
      <sharedItems containsSemiMixedTypes="0" containsString="0" containsNumber="1" containsInteger="1" minValue="0" maxValue="13000" count="10">
        <n v="9500"/>
        <n v="0"/>
        <n v="7000"/>
        <n v="7500"/>
        <n v="8000"/>
        <n v="11500"/>
        <n v="5000"/>
        <n v="8500"/>
        <n v="10000"/>
        <n v="13000"/>
      </sharedItems>
    </cacheField>
    <cacheField name="Term 2" numFmtId="0">
      <sharedItems containsSemiMixedTypes="0" containsString="0" containsNumber="1" containsInteger="1" minValue="0" maxValue="10000" count="6">
        <n v="5000"/>
        <n v="0"/>
        <n v="7000"/>
        <n v="7500"/>
        <n v="8000"/>
        <n v="10000"/>
      </sharedItems>
    </cacheField>
    <cacheField name="Term 3" numFmtId="0">
      <sharedItems containsSemiMixedTypes="0" containsString="0" containsNumber="1" containsInteger="1" minValue="0" maxValue="10000" count="9">
        <n v="5000"/>
        <n v="0"/>
        <n v="6500"/>
        <n v="7500"/>
        <n v="10000"/>
        <n v="2000"/>
        <n v="8000"/>
        <n v="6000"/>
        <n v="9000"/>
      </sharedItems>
    </cacheField>
    <cacheField name="Amount Reduced" numFmtId="0">
      <sharedItems containsSemiMixedTypes="0" containsString="0" containsNumber="1" containsInteger="1" minValue="0" maxValue="24500" count="10">
        <n v="0"/>
        <n v="4875"/>
        <n v="5625"/>
        <n v="22500"/>
        <n v="5875"/>
        <n v="4250"/>
        <n v="17000"/>
        <n v="4375"/>
        <n v="24500"/>
        <n v="6500"/>
      </sharedItems>
    </cacheField>
    <cacheField name="Paid_Term1" numFmtId="0">
      <sharedItems containsSemiMixedTypes="0" containsString="0" containsNumber="1" containsInteger="1" minValue="0" maxValue="22500" count="30">
        <n v="5000"/>
        <n v="10000"/>
        <n v="9500"/>
        <n v="7000"/>
        <n v="8000"/>
        <n v="9000"/>
        <n v="2000"/>
        <n v="0"/>
        <n v="10500"/>
        <n v="11000"/>
        <n v="2500"/>
        <n v="15500"/>
        <n v="11500"/>
        <n v="14000"/>
        <n v="12500"/>
        <n v="1000"/>
        <n v="22500"/>
        <n v="17500"/>
        <n v="6000"/>
        <n v="3000"/>
        <n v="7500"/>
        <n v="8500"/>
        <n v="4500"/>
        <n v="16625"/>
        <n v="13500"/>
        <n v="16500"/>
        <n v="15000"/>
        <n v="16000"/>
        <n v="20000"/>
        <n v="18000"/>
      </sharedItems>
    </cacheField>
    <cacheField name="Paid_Term2" numFmtId="0">
      <sharedItems containsSemiMixedTypes="0" containsString="0" containsNumber="1" containsInteger="1" minValue="0" maxValue="10000" count="10">
        <n v="9000"/>
        <n v="0"/>
        <n v="10000"/>
        <n v="5000"/>
        <n v="4000"/>
        <n v="6000"/>
        <n v="5550"/>
        <n v="3000"/>
        <n v="5500"/>
        <n v="6500"/>
      </sharedItems>
    </cacheField>
    <cacheField name="Paid_Term3" numFmtId="0">
      <sharedItems containsSemiMixedTypes="0" containsString="0" containsNumber="1" containsInteger="1" minValue="0" maxValue="6500" count="6">
        <n v="5500"/>
        <n v="0"/>
        <n v="4500"/>
        <n v="5000"/>
        <n v="6500"/>
        <n v="6000"/>
      </sharedItems>
    </cacheField>
    <cacheField name="Paid_Annual" numFmtId="0">
      <sharedItems containsSemiMixedTypes="0" containsString="0" containsNumber="1" containsInteger="1" minValue="0" maxValue="31350" count="5">
        <n v="0"/>
        <n v="12000"/>
        <n v="22050"/>
        <n v="21000"/>
        <n v="31350"/>
      </sharedItems>
    </cacheField>
    <cacheField name="Paid_Monthly" numFmtId="0">
      <sharedItems containsSemiMixedTypes="0" containsString="0" containsNumber="1" containsInteger="1" minValue="0" maxValue="16000" count="27">
        <n v="0"/>
        <n v="11500"/>
        <n v="7000"/>
        <n v="5500"/>
        <n v="2500"/>
        <n v="5000"/>
        <n v="4000"/>
        <n v="10100"/>
        <n v="2000"/>
        <n v="6000"/>
        <n v="10000"/>
        <n v="6500"/>
        <n v="3000"/>
        <n v="4500"/>
        <n v="13500"/>
        <n v="11000"/>
        <n v="500"/>
        <n v="9500"/>
        <n v="3500"/>
        <n v="10500"/>
        <n v="1000"/>
        <n v="7500"/>
        <n v="9000"/>
        <n v="14500"/>
        <n v="12000"/>
        <n v="16000"/>
        <n v="4600"/>
      </sharedItems>
    </cacheField>
    <cacheField name="Missing Fees" numFmtId="0">
      <sharedItems containsSemiMixedTypes="0" containsString="0" containsNumber="1" containsInteger="1" minValue="0" maxValue="27500" count="5">
        <n v="0"/>
        <n v="19500"/>
        <n v="17500"/>
        <n v="24500"/>
        <n v="27500"/>
      </sharedItems>
    </cacheField>
    <cacheField name="Discounted Fee" numFmtId="0">
      <sharedItems containsSemiMixedTypes="0" containsString="0" containsNumber="1" containsInteger="1" minValue="0" maxValue="33000" count="19">
        <n v="19500"/>
        <n v="14625"/>
        <n v="0"/>
        <n v="20500"/>
        <n v="16875"/>
        <n v="22500"/>
        <n v="23500"/>
        <n v="17625"/>
        <n v="31500"/>
        <n v="17000"/>
        <n v="12750"/>
        <n v="12000"/>
        <n v="17500"/>
        <n v="13125"/>
        <n v="24500"/>
        <n v="26000"/>
        <n v="27500"/>
        <n v="29000"/>
        <n v="33000"/>
      </sharedItems>
    </cacheField>
    <cacheField name="Term 1 Pending" numFmtId="0">
      <sharedItems containsSemiMixedTypes="0" containsString="0" containsNumber="1" containsInteger="1" minValue="-11000" maxValue="8000"/>
    </cacheField>
    <cacheField name="Term 2 Pending" numFmtId="0">
      <sharedItems containsSemiMixedTypes="0" containsString="0" containsNumber="1" containsInteger="1" minValue="-5000" maxValue="6000" count="14">
        <n v="-4000"/>
        <n v="0"/>
        <n v="-5000"/>
        <n v="1000"/>
        <n v="-1000"/>
        <n v="-550"/>
        <n v="2000"/>
        <n v="3000"/>
        <n v="4000"/>
        <n v="3500"/>
        <n v="2500"/>
        <n v="1500"/>
        <n v="6000"/>
        <n v="5000"/>
      </sharedItems>
    </cacheField>
    <cacheField name="Term 3 Pending" numFmtId="0">
      <sharedItems containsSemiMixedTypes="0" containsString="0" containsNumber="1" containsInteger="1" minValue="-1000" maxValue="2500" count="8">
        <n v="-500"/>
        <n v="0"/>
        <n v="500"/>
        <n v="1500"/>
        <n v="2000"/>
        <n v="1000"/>
        <n v="-1000"/>
        <n v="2500"/>
      </sharedItems>
    </cacheField>
    <cacheField name="Annual And Monthly Pending" numFmtId="0">
      <sharedItems containsSemiMixedTypes="0" containsString="0" containsNumber="1" containsInteger="1" minValue="0" maxValue="25000"/>
    </cacheField>
    <cacheField name="Paid Status" numFmtId="0">
      <sharedItems count="3">
        <s v="Paid Fully"/>
        <s v="Pending"/>
        <s v="No Fees Paid"/>
      </sharedItems>
    </cacheField>
    <cacheField name="Class_New" numFmtId="0">
      <sharedItems count="14">
        <s v="I"/>
        <s v="Class details not known"/>
        <s v="II"/>
        <s v="III"/>
        <s v="IV"/>
        <s v="IX"/>
        <s v="LKG"/>
        <s v="PRE-KG"/>
        <s v="UKG"/>
        <s v="V"/>
        <s v="VI"/>
        <s v="VII"/>
        <s v="VIII"/>
        <s v="X"/>
      </sharedItems>
    </cacheField>
    <cacheField name="Fee Amount" numFmtId="0">
      <sharedItems containsSemiMixedTypes="0" containsString="0" containsNumber="1" containsInteger="1" minValue="12000" maxValue="33000" count="13">
        <n v="19500"/>
        <n v="20500"/>
        <n v="22500"/>
        <n v="23500"/>
        <n v="31500"/>
        <n v="17000"/>
        <n v="12000"/>
        <n v="17500"/>
        <n v="24500"/>
        <n v="26000"/>
        <n v="27500"/>
        <n v="29000"/>
        <n v="33000"/>
      </sharedItems>
    </cacheField>
    <cacheField name="Admin_Remarks" numFmtId="0">
      <sharedItems count="3">
        <s v="REGULAR"/>
        <s v="RTE SCHEME"/>
        <s v="FULL DISCOUNT"/>
      </sharedItems>
    </cacheField>
    <cacheField name="Termwise Pending" numFmtId="0">
      <sharedItems containsMixedTypes="1" containsNumber="1" containsInteger="1" minValue="0" maxValue="33000" count="15">
        <n v="9500"/>
        <n v="0"/>
        <n v="7000"/>
        <s v="Monthly"/>
        <n v="7500"/>
        <n v="8000"/>
        <n v="11500"/>
        <n v="12000"/>
        <n v="5000"/>
        <n v="17500"/>
        <n v="8500"/>
        <n v="24500"/>
        <n v="10000"/>
        <n v="13000"/>
        <n v="33000"/>
      </sharedItems>
    </cacheField>
    <cacheField name="Student Discount" numFmtId="0">
      <sharedItems count="3">
        <s v="Regular Student"/>
        <s v="RTE SCHEME"/>
        <s v="Full Discount"/>
      </sharedItems>
    </cacheField>
    <cacheField name="Paid Fees" numFmtId="0" formula="Paid_Term1+Paid_Term2+Paid_Term3+Paid_Annual+Paid_Monthly" databaseField="0"/>
    <cacheField name="Pending Fees" numFmtId="0" formula="'Discounted Fee'-'Paid Fees'" databaseField="0"/>
    <cacheField name="Monthly_Annual Total" numFmtId="0" formula="Paid_Annual+Paid_Monthly" databaseField="0"/>
  </cacheFields>
  <extLst>
    <ext xmlns:x14="http://schemas.microsoft.com/office/spreadsheetml/2009/9/main" uri="{725AE2AE-9491-48be-B2B4-4EB974FC3084}">
      <x14:pivotCacheDefinition pivotCacheId="19403844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
  <r>
    <x v="0"/>
    <x v="0"/>
    <x v="0"/>
    <x v="0"/>
    <x v="0"/>
    <x v="0"/>
    <x v="0"/>
    <x v="0"/>
    <x v="0"/>
    <x v="0"/>
    <x v="0"/>
    <x v="0"/>
    <x v="0"/>
    <x v="0"/>
    <x v="0"/>
    <x v="0"/>
    <x v="0"/>
    <x v="0"/>
    <x v="0"/>
    <x v="0"/>
    <n v="4500"/>
    <x v="0"/>
    <x v="0"/>
    <n v="0"/>
    <x v="0"/>
    <x v="0"/>
    <x v="0"/>
    <x v="0"/>
    <x v="0"/>
    <x v="0"/>
  </r>
  <r>
    <x v="0"/>
    <x v="1"/>
    <x v="1"/>
    <x v="0"/>
    <x v="1"/>
    <x v="1"/>
    <x v="0"/>
    <x v="0"/>
    <x v="0"/>
    <x v="0"/>
    <x v="0"/>
    <x v="0"/>
    <x v="0"/>
    <x v="1"/>
    <x v="1"/>
    <x v="1"/>
    <x v="0"/>
    <x v="0"/>
    <x v="0"/>
    <x v="0"/>
    <n v="-500"/>
    <x v="1"/>
    <x v="1"/>
    <n v="0"/>
    <x v="1"/>
    <x v="0"/>
    <x v="0"/>
    <x v="0"/>
    <x v="0"/>
    <x v="0"/>
  </r>
  <r>
    <x v="0"/>
    <x v="2"/>
    <x v="2"/>
    <x v="0"/>
    <x v="0"/>
    <x v="2"/>
    <x v="0"/>
    <x v="0"/>
    <x v="0"/>
    <x v="0"/>
    <x v="0"/>
    <x v="0"/>
    <x v="0"/>
    <x v="2"/>
    <x v="2"/>
    <x v="1"/>
    <x v="0"/>
    <x v="0"/>
    <x v="0"/>
    <x v="0"/>
    <n v="0"/>
    <x v="2"/>
    <x v="1"/>
    <n v="0"/>
    <x v="0"/>
    <x v="0"/>
    <x v="0"/>
    <x v="0"/>
    <x v="0"/>
    <x v="0"/>
  </r>
  <r>
    <x v="0"/>
    <x v="3"/>
    <x v="3"/>
    <x v="0"/>
    <x v="1"/>
    <x v="3"/>
    <x v="0"/>
    <x v="0"/>
    <x v="0"/>
    <x v="0"/>
    <x v="0"/>
    <x v="0"/>
    <x v="1"/>
    <x v="3"/>
    <x v="3"/>
    <x v="1"/>
    <x v="0"/>
    <x v="0"/>
    <x v="0"/>
    <x v="1"/>
    <n v="2500"/>
    <x v="1"/>
    <x v="1"/>
    <n v="0"/>
    <x v="1"/>
    <x v="0"/>
    <x v="0"/>
    <x v="1"/>
    <x v="0"/>
    <x v="1"/>
  </r>
  <r>
    <x v="0"/>
    <x v="4"/>
    <x v="4"/>
    <x v="0"/>
    <x v="0"/>
    <x v="4"/>
    <x v="0"/>
    <x v="0"/>
    <x v="0"/>
    <x v="0"/>
    <x v="0"/>
    <x v="0"/>
    <x v="1"/>
    <x v="4"/>
    <x v="4"/>
    <x v="1"/>
    <x v="0"/>
    <x v="0"/>
    <x v="0"/>
    <x v="1"/>
    <n v="1500"/>
    <x v="3"/>
    <x v="1"/>
    <n v="0"/>
    <x v="1"/>
    <x v="0"/>
    <x v="0"/>
    <x v="1"/>
    <x v="0"/>
    <x v="1"/>
  </r>
  <r>
    <x v="0"/>
    <x v="5"/>
    <x v="5"/>
    <x v="0"/>
    <x v="1"/>
    <x v="5"/>
    <x v="0"/>
    <x v="0"/>
    <x v="0"/>
    <x v="0"/>
    <x v="0"/>
    <x v="0"/>
    <x v="0"/>
    <x v="1"/>
    <x v="5"/>
    <x v="1"/>
    <x v="0"/>
    <x v="0"/>
    <x v="0"/>
    <x v="0"/>
    <n v="-500"/>
    <x v="4"/>
    <x v="1"/>
    <n v="0"/>
    <x v="1"/>
    <x v="0"/>
    <x v="0"/>
    <x v="0"/>
    <x v="0"/>
    <x v="0"/>
  </r>
  <r>
    <x v="0"/>
    <x v="6"/>
    <x v="6"/>
    <x v="0"/>
    <x v="1"/>
    <x v="6"/>
    <x v="0"/>
    <x v="0"/>
    <x v="0"/>
    <x v="0"/>
    <x v="0"/>
    <x v="0"/>
    <x v="0"/>
    <x v="4"/>
    <x v="1"/>
    <x v="1"/>
    <x v="0"/>
    <x v="1"/>
    <x v="0"/>
    <x v="0"/>
    <n v="1500"/>
    <x v="1"/>
    <x v="1"/>
    <n v="8000"/>
    <x v="1"/>
    <x v="0"/>
    <x v="0"/>
    <x v="0"/>
    <x v="0"/>
    <x v="0"/>
  </r>
  <r>
    <x v="0"/>
    <x v="7"/>
    <x v="7"/>
    <x v="0"/>
    <x v="0"/>
    <x v="7"/>
    <x v="0"/>
    <x v="0"/>
    <x v="0"/>
    <x v="0"/>
    <x v="0"/>
    <x v="0"/>
    <x v="0"/>
    <x v="2"/>
    <x v="3"/>
    <x v="2"/>
    <x v="0"/>
    <x v="0"/>
    <x v="0"/>
    <x v="0"/>
    <n v="0"/>
    <x v="1"/>
    <x v="2"/>
    <n v="0"/>
    <x v="1"/>
    <x v="0"/>
    <x v="0"/>
    <x v="0"/>
    <x v="0"/>
    <x v="0"/>
  </r>
  <r>
    <x v="0"/>
    <x v="8"/>
    <x v="8"/>
    <x v="0"/>
    <x v="1"/>
    <x v="8"/>
    <x v="0"/>
    <x v="0"/>
    <x v="0"/>
    <x v="0"/>
    <x v="0"/>
    <x v="0"/>
    <x v="0"/>
    <x v="5"/>
    <x v="1"/>
    <x v="1"/>
    <x v="0"/>
    <x v="2"/>
    <x v="0"/>
    <x v="0"/>
    <n v="500"/>
    <x v="1"/>
    <x v="1"/>
    <n v="12500"/>
    <x v="1"/>
    <x v="0"/>
    <x v="0"/>
    <x v="0"/>
    <x v="0"/>
    <x v="0"/>
  </r>
  <r>
    <x v="0"/>
    <x v="9"/>
    <x v="9"/>
    <x v="0"/>
    <x v="1"/>
    <x v="3"/>
    <x v="0"/>
    <x v="0"/>
    <x v="0"/>
    <x v="0"/>
    <x v="0"/>
    <x v="0"/>
    <x v="0"/>
    <x v="2"/>
    <x v="1"/>
    <x v="1"/>
    <x v="0"/>
    <x v="3"/>
    <x v="0"/>
    <x v="0"/>
    <n v="0"/>
    <x v="1"/>
    <x v="1"/>
    <n v="14000"/>
    <x v="1"/>
    <x v="0"/>
    <x v="0"/>
    <x v="0"/>
    <x v="0"/>
    <x v="0"/>
  </r>
  <r>
    <x v="0"/>
    <x v="10"/>
    <x v="10"/>
    <x v="0"/>
    <x v="0"/>
    <x v="6"/>
    <x v="0"/>
    <x v="0"/>
    <x v="0"/>
    <x v="0"/>
    <x v="0"/>
    <x v="0"/>
    <x v="0"/>
    <x v="4"/>
    <x v="6"/>
    <x v="1"/>
    <x v="0"/>
    <x v="4"/>
    <x v="0"/>
    <x v="0"/>
    <n v="1500"/>
    <x v="5"/>
    <x v="1"/>
    <n v="17000"/>
    <x v="1"/>
    <x v="0"/>
    <x v="0"/>
    <x v="0"/>
    <x v="0"/>
    <x v="0"/>
  </r>
  <r>
    <x v="0"/>
    <x v="11"/>
    <x v="11"/>
    <x v="0"/>
    <x v="0"/>
    <x v="0"/>
    <x v="0"/>
    <x v="0"/>
    <x v="0"/>
    <x v="0"/>
    <x v="0"/>
    <x v="0"/>
    <x v="0"/>
    <x v="6"/>
    <x v="2"/>
    <x v="1"/>
    <x v="0"/>
    <x v="0"/>
    <x v="0"/>
    <x v="0"/>
    <n v="7500"/>
    <x v="2"/>
    <x v="1"/>
    <n v="0"/>
    <x v="1"/>
    <x v="0"/>
    <x v="0"/>
    <x v="0"/>
    <x v="0"/>
    <x v="0"/>
  </r>
  <r>
    <x v="1"/>
    <x v="12"/>
    <x v="12"/>
    <x v="0"/>
    <x v="0"/>
    <x v="1"/>
    <x v="0"/>
    <x v="0"/>
    <x v="1"/>
    <x v="1"/>
    <x v="1"/>
    <x v="1"/>
    <x v="0"/>
    <x v="7"/>
    <x v="1"/>
    <x v="1"/>
    <x v="0"/>
    <x v="0"/>
    <x v="1"/>
    <x v="2"/>
    <n v="0"/>
    <x v="1"/>
    <x v="1"/>
    <n v="0"/>
    <x v="2"/>
    <x v="1"/>
    <x v="0"/>
    <x v="0"/>
    <x v="1"/>
    <x v="0"/>
  </r>
  <r>
    <x v="0"/>
    <x v="13"/>
    <x v="13"/>
    <x v="0"/>
    <x v="1"/>
    <x v="9"/>
    <x v="0"/>
    <x v="0"/>
    <x v="0"/>
    <x v="0"/>
    <x v="0"/>
    <x v="0"/>
    <x v="0"/>
    <x v="8"/>
    <x v="3"/>
    <x v="1"/>
    <x v="0"/>
    <x v="0"/>
    <x v="0"/>
    <x v="0"/>
    <n v="-1000"/>
    <x v="1"/>
    <x v="1"/>
    <n v="0"/>
    <x v="1"/>
    <x v="0"/>
    <x v="0"/>
    <x v="0"/>
    <x v="0"/>
    <x v="0"/>
  </r>
  <r>
    <x v="0"/>
    <x v="14"/>
    <x v="14"/>
    <x v="0"/>
    <x v="1"/>
    <x v="8"/>
    <x v="0"/>
    <x v="0"/>
    <x v="0"/>
    <x v="0"/>
    <x v="0"/>
    <x v="0"/>
    <x v="0"/>
    <x v="2"/>
    <x v="3"/>
    <x v="1"/>
    <x v="0"/>
    <x v="0"/>
    <x v="0"/>
    <x v="0"/>
    <n v="0"/>
    <x v="1"/>
    <x v="1"/>
    <n v="0"/>
    <x v="1"/>
    <x v="0"/>
    <x v="0"/>
    <x v="0"/>
    <x v="0"/>
    <x v="0"/>
  </r>
  <r>
    <x v="0"/>
    <x v="15"/>
    <x v="15"/>
    <x v="1"/>
    <x v="0"/>
    <x v="1"/>
    <x v="0"/>
    <x v="0"/>
    <x v="2"/>
    <x v="2"/>
    <x v="2"/>
    <x v="2"/>
    <x v="0"/>
    <x v="1"/>
    <x v="1"/>
    <x v="1"/>
    <x v="0"/>
    <x v="5"/>
    <x v="0"/>
    <x v="3"/>
    <n v="-3000"/>
    <x v="1"/>
    <x v="1"/>
    <n v="15500"/>
    <x v="1"/>
    <x v="2"/>
    <x v="1"/>
    <x v="0"/>
    <x v="2"/>
    <x v="0"/>
  </r>
  <r>
    <x v="0"/>
    <x v="16"/>
    <x v="16"/>
    <x v="1"/>
    <x v="1"/>
    <x v="0"/>
    <x v="0"/>
    <x v="0"/>
    <x v="2"/>
    <x v="2"/>
    <x v="2"/>
    <x v="2"/>
    <x v="0"/>
    <x v="7"/>
    <x v="1"/>
    <x v="1"/>
    <x v="0"/>
    <x v="6"/>
    <x v="0"/>
    <x v="3"/>
    <n v="0"/>
    <x v="1"/>
    <x v="1"/>
    <n v="16500"/>
    <x v="1"/>
    <x v="2"/>
    <x v="1"/>
    <x v="0"/>
    <x v="3"/>
    <x v="0"/>
  </r>
  <r>
    <x v="0"/>
    <x v="17"/>
    <x v="17"/>
    <x v="1"/>
    <x v="0"/>
    <x v="1"/>
    <x v="0"/>
    <x v="0"/>
    <x v="2"/>
    <x v="2"/>
    <x v="2"/>
    <x v="2"/>
    <x v="0"/>
    <x v="8"/>
    <x v="3"/>
    <x v="1"/>
    <x v="0"/>
    <x v="5"/>
    <x v="0"/>
    <x v="3"/>
    <n v="-3500"/>
    <x v="6"/>
    <x v="1"/>
    <n v="15500"/>
    <x v="1"/>
    <x v="2"/>
    <x v="1"/>
    <x v="0"/>
    <x v="2"/>
    <x v="0"/>
  </r>
  <r>
    <x v="0"/>
    <x v="18"/>
    <x v="18"/>
    <x v="1"/>
    <x v="0"/>
    <x v="10"/>
    <x v="0"/>
    <x v="0"/>
    <x v="2"/>
    <x v="2"/>
    <x v="2"/>
    <x v="2"/>
    <x v="0"/>
    <x v="9"/>
    <x v="4"/>
    <x v="1"/>
    <x v="0"/>
    <x v="0"/>
    <x v="0"/>
    <x v="3"/>
    <n v="-4000"/>
    <x v="7"/>
    <x v="1"/>
    <n v="0"/>
    <x v="1"/>
    <x v="2"/>
    <x v="1"/>
    <x v="0"/>
    <x v="2"/>
    <x v="0"/>
  </r>
  <r>
    <x v="0"/>
    <x v="19"/>
    <x v="19"/>
    <x v="1"/>
    <x v="1"/>
    <x v="1"/>
    <x v="0"/>
    <x v="0"/>
    <x v="2"/>
    <x v="2"/>
    <x v="2"/>
    <x v="2"/>
    <x v="0"/>
    <x v="0"/>
    <x v="1"/>
    <x v="1"/>
    <x v="0"/>
    <x v="0"/>
    <x v="0"/>
    <x v="3"/>
    <n v="2000"/>
    <x v="1"/>
    <x v="1"/>
    <n v="0"/>
    <x v="1"/>
    <x v="2"/>
    <x v="1"/>
    <x v="0"/>
    <x v="2"/>
    <x v="0"/>
  </r>
  <r>
    <x v="0"/>
    <x v="20"/>
    <x v="20"/>
    <x v="1"/>
    <x v="0"/>
    <x v="1"/>
    <x v="0"/>
    <x v="0"/>
    <x v="2"/>
    <x v="2"/>
    <x v="2"/>
    <x v="2"/>
    <x v="0"/>
    <x v="8"/>
    <x v="3"/>
    <x v="3"/>
    <x v="0"/>
    <x v="0"/>
    <x v="0"/>
    <x v="3"/>
    <n v="-3500"/>
    <x v="6"/>
    <x v="3"/>
    <n v="0"/>
    <x v="0"/>
    <x v="2"/>
    <x v="1"/>
    <x v="0"/>
    <x v="2"/>
    <x v="0"/>
  </r>
  <r>
    <x v="0"/>
    <x v="21"/>
    <x v="21"/>
    <x v="1"/>
    <x v="0"/>
    <x v="1"/>
    <x v="0"/>
    <x v="0"/>
    <x v="2"/>
    <x v="2"/>
    <x v="2"/>
    <x v="2"/>
    <x v="0"/>
    <x v="10"/>
    <x v="1"/>
    <x v="1"/>
    <x v="0"/>
    <x v="7"/>
    <x v="0"/>
    <x v="3"/>
    <n v="4500"/>
    <x v="1"/>
    <x v="1"/>
    <n v="10400"/>
    <x v="1"/>
    <x v="2"/>
    <x v="1"/>
    <x v="0"/>
    <x v="2"/>
    <x v="0"/>
  </r>
  <r>
    <x v="0"/>
    <x v="22"/>
    <x v="22"/>
    <x v="1"/>
    <x v="0"/>
    <x v="11"/>
    <x v="0"/>
    <x v="0"/>
    <x v="2"/>
    <x v="2"/>
    <x v="2"/>
    <x v="2"/>
    <x v="0"/>
    <x v="11"/>
    <x v="1"/>
    <x v="3"/>
    <x v="0"/>
    <x v="0"/>
    <x v="0"/>
    <x v="3"/>
    <n v="-8500"/>
    <x v="1"/>
    <x v="3"/>
    <n v="0"/>
    <x v="0"/>
    <x v="2"/>
    <x v="1"/>
    <x v="0"/>
    <x v="2"/>
    <x v="0"/>
  </r>
  <r>
    <x v="0"/>
    <x v="23"/>
    <x v="23"/>
    <x v="1"/>
    <x v="0"/>
    <x v="9"/>
    <x v="0"/>
    <x v="0"/>
    <x v="2"/>
    <x v="2"/>
    <x v="2"/>
    <x v="2"/>
    <x v="0"/>
    <x v="8"/>
    <x v="7"/>
    <x v="1"/>
    <x v="0"/>
    <x v="8"/>
    <x v="0"/>
    <x v="3"/>
    <n v="-3500"/>
    <x v="8"/>
    <x v="1"/>
    <n v="18500"/>
    <x v="1"/>
    <x v="2"/>
    <x v="1"/>
    <x v="0"/>
    <x v="2"/>
    <x v="0"/>
  </r>
  <r>
    <x v="0"/>
    <x v="24"/>
    <x v="24"/>
    <x v="1"/>
    <x v="0"/>
    <x v="9"/>
    <x v="0"/>
    <x v="0"/>
    <x v="2"/>
    <x v="2"/>
    <x v="2"/>
    <x v="2"/>
    <x v="0"/>
    <x v="1"/>
    <x v="3"/>
    <x v="1"/>
    <x v="0"/>
    <x v="0"/>
    <x v="0"/>
    <x v="3"/>
    <n v="-3000"/>
    <x v="6"/>
    <x v="1"/>
    <n v="0"/>
    <x v="1"/>
    <x v="2"/>
    <x v="1"/>
    <x v="0"/>
    <x v="2"/>
    <x v="0"/>
  </r>
  <r>
    <x v="0"/>
    <x v="25"/>
    <x v="25"/>
    <x v="2"/>
    <x v="0"/>
    <x v="4"/>
    <x v="0"/>
    <x v="0"/>
    <x v="3"/>
    <x v="3"/>
    <x v="3"/>
    <x v="3"/>
    <x v="2"/>
    <x v="1"/>
    <x v="4"/>
    <x v="1"/>
    <x v="0"/>
    <x v="0"/>
    <x v="0"/>
    <x v="4"/>
    <n v="-2500"/>
    <x v="9"/>
    <x v="1"/>
    <n v="0"/>
    <x v="1"/>
    <x v="3"/>
    <x v="2"/>
    <x v="1"/>
    <x v="4"/>
    <x v="1"/>
  </r>
  <r>
    <x v="0"/>
    <x v="26"/>
    <x v="26"/>
    <x v="2"/>
    <x v="0"/>
    <x v="12"/>
    <x v="0"/>
    <x v="0"/>
    <x v="3"/>
    <x v="3"/>
    <x v="3"/>
    <x v="3"/>
    <x v="0"/>
    <x v="12"/>
    <x v="1"/>
    <x v="1"/>
    <x v="0"/>
    <x v="9"/>
    <x v="0"/>
    <x v="5"/>
    <n v="-4000"/>
    <x v="1"/>
    <x v="1"/>
    <n v="16500"/>
    <x v="1"/>
    <x v="3"/>
    <x v="2"/>
    <x v="0"/>
    <x v="4"/>
    <x v="0"/>
  </r>
  <r>
    <x v="0"/>
    <x v="27"/>
    <x v="27"/>
    <x v="2"/>
    <x v="1"/>
    <x v="8"/>
    <x v="0"/>
    <x v="0"/>
    <x v="3"/>
    <x v="3"/>
    <x v="3"/>
    <x v="3"/>
    <x v="0"/>
    <x v="12"/>
    <x v="1"/>
    <x v="1"/>
    <x v="0"/>
    <x v="10"/>
    <x v="0"/>
    <x v="5"/>
    <n v="-4000"/>
    <x v="1"/>
    <x v="1"/>
    <n v="12500"/>
    <x v="1"/>
    <x v="3"/>
    <x v="2"/>
    <x v="0"/>
    <x v="4"/>
    <x v="0"/>
  </r>
  <r>
    <x v="0"/>
    <x v="28"/>
    <x v="28"/>
    <x v="2"/>
    <x v="0"/>
    <x v="13"/>
    <x v="0"/>
    <x v="0"/>
    <x v="3"/>
    <x v="3"/>
    <x v="3"/>
    <x v="3"/>
    <x v="0"/>
    <x v="9"/>
    <x v="3"/>
    <x v="1"/>
    <x v="0"/>
    <x v="4"/>
    <x v="0"/>
    <x v="5"/>
    <n v="-3500"/>
    <x v="10"/>
    <x v="1"/>
    <n v="20000"/>
    <x v="1"/>
    <x v="3"/>
    <x v="2"/>
    <x v="0"/>
    <x v="4"/>
    <x v="0"/>
  </r>
  <r>
    <x v="0"/>
    <x v="29"/>
    <x v="29"/>
    <x v="2"/>
    <x v="1"/>
    <x v="1"/>
    <x v="0"/>
    <x v="0"/>
    <x v="3"/>
    <x v="3"/>
    <x v="3"/>
    <x v="3"/>
    <x v="0"/>
    <x v="7"/>
    <x v="1"/>
    <x v="1"/>
    <x v="0"/>
    <x v="11"/>
    <x v="0"/>
    <x v="5"/>
    <n v="0"/>
    <x v="1"/>
    <x v="1"/>
    <n v="16000"/>
    <x v="1"/>
    <x v="3"/>
    <x v="2"/>
    <x v="0"/>
    <x v="3"/>
    <x v="0"/>
  </r>
  <r>
    <x v="0"/>
    <x v="30"/>
    <x v="30"/>
    <x v="2"/>
    <x v="1"/>
    <x v="14"/>
    <x v="0"/>
    <x v="0"/>
    <x v="3"/>
    <x v="3"/>
    <x v="3"/>
    <x v="3"/>
    <x v="3"/>
    <x v="7"/>
    <x v="1"/>
    <x v="1"/>
    <x v="0"/>
    <x v="0"/>
    <x v="0"/>
    <x v="5"/>
    <n v="0"/>
    <x v="1"/>
    <x v="1"/>
    <n v="0"/>
    <x v="0"/>
    <x v="3"/>
    <x v="2"/>
    <x v="2"/>
    <x v="1"/>
    <x v="2"/>
  </r>
  <r>
    <x v="0"/>
    <x v="31"/>
    <x v="31"/>
    <x v="2"/>
    <x v="1"/>
    <x v="1"/>
    <x v="0"/>
    <x v="0"/>
    <x v="3"/>
    <x v="3"/>
    <x v="3"/>
    <x v="3"/>
    <x v="0"/>
    <x v="12"/>
    <x v="8"/>
    <x v="0"/>
    <x v="0"/>
    <x v="0"/>
    <x v="0"/>
    <x v="5"/>
    <n v="-4000"/>
    <x v="6"/>
    <x v="4"/>
    <n v="0"/>
    <x v="0"/>
    <x v="3"/>
    <x v="2"/>
    <x v="0"/>
    <x v="4"/>
    <x v="0"/>
  </r>
  <r>
    <x v="0"/>
    <x v="32"/>
    <x v="32"/>
    <x v="2"/>
    <x v="1"/>
    <x v="1"/>
    <x v="0"/>
    <x v="0"/>
    <x v="3"/>
    <x v="3"/>
    <x v="3"/>
    <x v="3"/>
    <x v="0"/>
    <x v="1"/>
    <x v="5"/>
    <x v="1"/>
    <x v="0"/>
    <x v="12"/>
    <x v="0"/>
    <x v="5"/>
    <n v="-2500"/>
    <x v="11"/>
    <x v="1"/>
    <n v="19500"/>
    <x v="1"/>
    <x v="3"/>
    <x v="2"/>
    <x v="0"/>
    <x v="4"/>
    <x v="0"/>
  </r>
  <r>
    <x v="0"/>
    <x v="33"/>
    <x v="33"/>
    <x v="2"/>
    <x v="1"/>
    <x v="15"/>
    <x v="0"/>
    <x v="0"/>
    <x v="3"/>
    <x v="3"/>
    <x v="3"/>
    <x v="3"/>
    <x v="0"/>
    <x v="12"/>
    <x v="1"/>
    <x v="4"/>
    <x v="0"/>
    <x v="13"/>
    <x v="0"/>
    <x v="5"/>
    <n v="-4000"/>
    <x v="1"/>
    <x v="5"/>
    <n v="18000"/>
    <x v="1"/>
    <x v="3"/>
    <x v="2"/>
    <x v="0"/>
    <x v="4"/>
    <x v="0"/>
  </r>
  <r>
    <x v="0"/>
    <x v="34"/>
    <x v="34"/>
    <x v="2"/>
    <x v="0"/>
    <x v="8"/>
    <x v="0"/>
    <x v="0"/>
    <x v="3"/>
    <x v="3"/>
    <x v="3"/>
    <x v="3"/>
    <x v="0"/>
    <x v="13"/>
    <x v="1"/>
    <x v="1"/>
    <x v="0"/>
    <x v="6"/>
    <x v="0"/>
    <x v="5"/>
    <n v="-6500"/>
    <x v="1"/>
    <x v="1"/>
    <n v="18500"/>
    <x v="1"/>
    <x v="3"/>
    <x v="2"/>
    <x v="0"/>
    <x v="4"/>
    <x v="0"/>
  </r>
  <r>
    <x v="0"/>
    <x v="35"/>
    <x v="35"/>
    <x v="3"/>
    <x v="1"/>
    <x v="1"/>
    <x v="0"/>
    <x v="0"/>
    <x v="4"/>
    <x v="4"/>
    <x v="4"/>
    <x v="3"/>
    <x v="0"/>
    <x v="14"/>
    <x v="1"/>
    <x v="1"/>
    <x v="0"/>
    <x v="9"/>
    <x v="0"/>
    <x v="6"/>
    <n v="-4500"/>
    <x v="1"/>
    <x v="1"/>
    <n v="17500"/>
    <x v="1"/>
    <x v="4"/>
    <x v="3"/>
    <x v="0"/>
    <x v="5"/>
    <x v="0"/>
  </r>
  <r>
    <x v="0"/>
    <x v="36"/>
    <x v="36"/>
    <x v="3"/>
    <x v="0"/>
    <x v="16"/>
    <x v="0"/>
    <x v="0"/>
    <x v="4"/>
    <x v="4"/>
    <x v="4"/>
    <x v="3"/>
    <x v="0"/>
    <x v="1"/>
    <x v="1"/>
    <x v="1"/>
    <x v="0"/>
    <x v="14"/>
    <x v="0"/>
    <x v="6"/>
    <n v="-2000"/>
    <x v="1"/>
    <x v="1"/>
    <n v="10000"/>
    <x v="1"/>
    <x v="4"/>
    <x v="3"/>
    <x v="0"/>
    <x v="5"/>
    <x v="0"/>
  </r>
  <r>
    <x v="0"/>
    <x v="37"/>
    <x v="37"/>
    <x v="3"/>
    <x v="0"/>
    <x v="3"/>
    <x v="0"/>
    <x v="0"/>
    <x v="4"/>
    <x v="4"/>
    <x v="4"/>
    <x v="3"/>
    <x v="0"/>
    <x v="14"/>
    <x v="1"/>
    <x v="1"/>
    <x v="0"/>
    <x v="0"/>
    <x v="0"/>
    <x v="6"/>
    <n v="-4500"/>
    <x v="1"/>
    <x v="1"/>
    <n v="0"/>
    <x v="1"/>
    <x v="4"/>
    <x v="3"/>
    <x v="0"/>
    <x v="5"/>
    <x v="0"/>
  </r>
  <r>
    <x v="0"/>
    <x v="38"/>
    <x v="38"/>
    <x v="3"/>
    <x v="0"/>
    <x v="8"/>
    <x v="0"/>
    <x v="0"/>
    <x v="4"/>
    <x v="4"/>
    <x v="4"/>
    <x v="3"/>
    <x v="0"/>
    <x v="14"/>
    <x v="1"/>
    <x v="1"/>
    <x v="0"/>
    <x v="15"/>
    <x v="0"/>
    <x v="6"/>
    <n v="-4500"/>
    <x v="1"/>
    <x v="1"/>
    <n v="12500"/>
    <x v="1"/>
    <x v="4"/>
    <x v="3"/>
    <x v="0"/>
    <x v="5"/>
    <x v="0"/>
  </r>
  <r>
    <x v="0"/>
    <x v="39"/>
    <x v="39"/>
    <x v="3"/>
    <x v="0"/>
    <x v="17"/>
    <x v="0"/>
    <x v="0"/>
    <x v="4"/>
    <x v="4"/>
    <x v="4"/>
    <x v="3"/>
    <x v="4"/>
    <x v="3"/>
    <x v="1"/>
    <x v="1"/>
    <x v="0"/>
    <x v="4"/>
    <x v="0"/>
    <x v="7"/>
    <n v="1000"/>
    <x v="1"/>
    <x v="1"/>
    <n v="21000"/>
    <x v="1"/>
    <x v="4"/>
    <x v="3"/>
    <x v="1"/>
    <x v="5"/>
    <x v="1"/>
  </r>
  <r>
    <x v="0"/>
    <x v="40"/>
    <x v="40"/>
    <x v="3"/>
    <x v="0"/>
    <x v="1"/>
    <x v="0"/>
    <x v="0"/>
    <x v="4"/>
    <x v="4"/>
    <x v="4"/>
    <x v="3"/>
    <x v="0"/>
    <x v="14"/>
    <x v="3"/>
    <x v="1"/>
    <x v="0"/>
    <x v="16"/>
    <x v="0"/>
    <x v="6"/>
    <n v="-4500"/>
    <x v="7"/>
    <x v="1"/>
    <n v="23000"/>
    <x v="1"/>
    <x v="4"/>
    <x v="3"/>
    <x v="0"/>
    <x v="5"/>
    <x v="0"/>
  </r>
  <r>
    <x v="0"/>
    <x v="41"/>
    <x v="41"/>
    <x v="3"/>
    <x v="0"/>
    <x v="3"/>
    <x v="0"/>
    <x v="0"/>
    <x v="4"/>
    <x v="4"/>
    <x v="4"/>
    <x v="3"/>
    <x v="0"/>
    <x v="13"/>
    <x v="1"/>
    <x v="1"/>
    <x v="0"/>
    <x v="17"/>
    <x v="0"/>
    <x v="6"/>
    <n v="-6000"/>
    <x v="1"/>
    <x v="1"/>
    <n v="14000"/>
    <x v="1"/>
    <x v="4"/>
    <x v="3"/>
    <x v="0"/>
    <x v="5"/>
    <x v="0"/>
  </r>
  <r>
    <x v="0"/>
    <x v="42"/>
    <x v="42"/>
    <x v="3"/>
    <x v="1"/>
    <x v="18"/>
    <x v="0"/>
    <x v="0"/>
    <x v="4"/>
    <x v="4"/>
    <x v="4"/>
    <x v="3"/>
    <x v="0"/>
    <x v="15"/>
    <x v="1"/>
    <x v="1"/>
    <x v="0"/>
    <x v="18"/>
    <x v="0"/>
    <x v="6"/>
    <n v="7000"/>
    <x v="1"/>
    <x v="1"/>
    <n v="20000"/>
    <x v="1"/>
    <x v="4"/>
    <x v="3"/>
    <x v="0"/>
    <x v="5"/>
    <x v="0"/>
  </r>
  <r>
    <x v="0"/>
    <x v="43"/>
    <x v="43"/>
    <x v="3"/>
    <x v="0"/>
    <x v="0"/>
    <x v="0"/>
    <x v="0"/>
    <x v="4"/>
    <x v="4"/>
    <x v="4"/>
    <x v="3"/>
    <x v="0"/>
    <x v="1"/>
    <x v="1"/>
    <x v="1"/>
    <x v="0"/>
    <x v="10"/>
    <x v="0"/>
    <x v="6"/>
    <n v="-2000"/>
    <x v="1"/>
    <x v="1"/>
    <n v="13500"/>
    <x v="1"/>
    <x v="4"/>
    <x v="3"/>
    <x v="0"/>
    <x v="5"/>
    <x v="0"/>
  </r>
  <r>
    <x v="0"/>
    <x v="44"/>
    <x v="44"/>
    <x v="3"/>
    <x v="0"/>
    <x v="9"/>
    <x v="0"/>
    <x v="0"/>
    <x v="4"/>
    <x v="4"/>
    <x v="4"/>
    <x v="3"/>
    <x v="0"/>
    <x v="14"/>
    <x v="8"/>
    <x v="0"/>
    <x v="0"/>
    <x v="0"/>
    <x v="0"/>
    <x v="6"/>
    <n v="-4500"/>
    <x v="10"/>
    <x v="4"/>
    <n v="0"/>
    <x v="0"/>
    <x v="4"/>
    <x v="3"/>
    <x v="0"/>
    <x v="5"/>
    <x v="0"/>
  </r>
  <r>
    <x v="0"/>
    <x v="45"/>
    <x v="45"/>
    <x v="3"/>
    <x v="1"/>
    <x v="4"/>
    <x v="0"/>
    <x v="0"/>
    <x v="4"/>
    <x v="4"/>
    <x v="4"/>
    <x v="3"/>
    <x v="0"/>
    <x v="14"/>
    <x v="1"/>
    <x v="1"/>
    <x v="0"/>
    <x v="3"/>
    <x v="0"/>
    <x v="6"/>
    <n v="-4500"/>
    <x v="1"/>
    <x v="1"/>
    <n v="18000"/>
    <x v="1"/>
    <x v="4"/>
    <x v="3"/>
    <x v="0"/>
    <x v="5"/>
    <x v="0"/>
  </r>
  <r>
    <x v="0"/>
    <x v="46"/>
    <x v="46"/>
    <x v="4"/>
    <x v="0"/>
    <x v="19"/>
    <x v="0"/>
    <x v="0"/>
    <x v="5"/>
    <x v="5"/>
    <x v="5"/>
    <x v="4"/>
    <x v="0"/>
    <x v="16"/>
    <x v="1"/>
    <x v="1"/>
    <x v="0"/>
    <x v="0"/>
    <x v="0"/>
    <x v="8"/>
    <n v="-11000"/>
    <x v="1"/>
    <x v="1"/>
    <n v="0"/>
    <x v="1"/>
    <x v="5"/>
    <x v="4"/>
    <x v="0"/>
    <x v="6"/>
    <x v="0"/>
  </r>
  <r>
    <x v="0"/>
    <x v="47"/>
    <x v="47"/>
    <x v="4"/>
    <x v="1"/>
    <x v="20"/>
    <x v="0"/>
    <x v="0"/>
    <x v="5"/>
    <x v="5"/>
    <x v="5"/>
    <x v="4"/>
    <x v="0"/>
    <x v="17"/>
    <x v="1"/>
    <x v="1"/>
    <x v="0"/>
    <x v="19"/>
    <x v="0"/>
    <x v="8"/>
    <n v="-6000"/>
    <x v="1"/>
    <x v="1"/>
    <n v="21000"/>
    <x v="1"/>
    <x v="5"/>
    <x v="4"/>
    <x v="0"/>
    <x v="6"/>
    <x v="0"/>
  </r>
  <r>
    <x v="0"/>
    <x v="48"/>
    <x v="48"/>
    <x v="4"/>
    <x v="0"/>
    <x v="9"/>
    <x v="0"/>
    <x v="0"/>
    <x v="5"/>
    <x v="5"/>
    <x v="5"/>
    <x v="4"/>
    <x v="0"/>
    <x v="9"/>
    <x v="1"/>
    <x v="1"/>
    <x v="0"/>
    <x v="0"/>
    <x v="0"/>
    <x v="8"/>
    <n v="500"/>
    <x v="1"/>
    <x v="1"/>
    <n v="0"/>
    <x v="1"/>
    <x v="5"/>
    <x v="4"/>
    <x v="0"/>
    <x v="6"/>
    <x v="0"/>
  </r>
  <r>
    <x v="0"/>
    <x v="49"/>
    <x v="49"/>
    <x v="4"/>
    <x v="0"/>
    <x v="21"/>
    <x v="0"/>
    <x v="0"/>
    <x v="5"/>
    <x v="5"/>
    <x v="5"/>
    <x v="4"/>
    <x v="0"/>
    <x v="1"/>
    <x v="1"/>
    <x v="1"/>
    <x v="0"/>
    <x v="0"/>
    <x v="0"/>
    <x v="8"/>
    <n v="1500"/>
    <x v="1"/>
    <x v="1"/>
    <n v="0"/>
    <x v="1"/>
    <x v="5"/>
    <x v="4"/>
    <x v="0"/>
    <x v="6"/>
    <x v="0"/>
  </r>
  <r>
    <x v="0"/>
    <x v="50"/>
    <x v="50"/>
    <x v="5"/>
    <x v="1"/>
    <x v="22"/>
    <x v="0"/>
    <x v="0"/>
    <x v="6"/>
    <x v="2"/>
    <x v="0"/>
    <x v="0"/>
    <x v="0"/>
    <x v="3"/>
    <x v="3"/>
    <x v="1"/>
    <x v="0"/>
    <x v="12"/>
    <x v="0"/>
    <x v="9"/>
    <n v="0"/>
    <x v="1"/>
    <x v="1"/>
    <n v="14000"/>
    <x v="1"/>
    <x v="6"/>
    <x v="5"/>
    <x v="0"/>
    <x v="2"/>
    <x v="0"/>
  </r>
  <r>
    <x v="0"/>
    <x v="51"/>
    <x v="51"/>
    <x v="5"/>
    <x v="0"/>
    <x v="23"/>
    <x v="0"/>
    <x v="0"/>
    <x v="6"/>
    <x v="2"/>
    <x v="0"/>
    <x v="0"/>
    <x v="0"/>
    <x v="3"/>
    <x v="3"/>
    <x v="3"/>
    <x v="0"/>
    <x v="0"/>
    <x v="0"/>
    <x v="9"/>
    <n v="0"/>
    <x v="1"/>
    <x v="1"/>
    <n v="0"/>
    <x v="0"/>
    <x v="6"/>
    <x v="5"/>
    <x v="0"/>
    <x v="2"/>
    <x v="0"/>
  </r>
  <r>
    <x v="0"/>
    <x v="52"/>
    <x v="52"/>
    <x v="5"/>
    <x v="0"/>
    <x v="24"/>
    <x v="0"/>
    <x v="0"/>
    <x v="6"/>
    <x v="2"/>
    <x v="0"/>
    <x v="0"/>
    <x v="5"/>
    <x v="18"/>
    <x v="4"/>
    <x v="1"/>
    <x v="0"/>
    <x v="0"/>
    <x v="0"/>
    <x v="10"/>
    <n v="1000"/>
    <x v="3"/>
    <x v="1"/>
    <n v="0"/>
    <x v="1"/>
    <x v="6"/>
    <x v="5"/>
    <x v="1"/>
    <x v="2"/>
    <x v="1"/>
  </r>
  <r>
    <x v="0"/>
    <x v="53"/>
    <x v="53"/>
    <x v="5"/>
    <x v="1"/>
    <x v="25"/>
    <x v="0"/>
    <x v="0"/>
    <x v="6"/>
    <x v="2"/>
    <x v="0"/>
    <x v="0"/>
    <x v="0"/>
    <x v="3"/>
    <x v="1"/>
    <x v="1"/>
    <x v="0"/>
    <x v="10"/>
    <x v="0"/>
    <x v="9"/>
    <n v="0"/>
    <x v="1"/>
    <x v="1"/>
    <n v="7000"/>
    <x v="1"/>
    <x v="6"/>
    <x v="5"/>
    <x v="0"/>
    <x v="2"/>
    <x v="0"/>
  </r>
  <r>
    <x v="0"/>
    <x v="54"/>
    <x v="54"/>
    <x v="5"/>
    <x v="1"/>
    <x v="23"/>
    <x v="0"/>
    <x v="0"/>
    <x v="6"/>
    <x v="2"/>
    <x v="0"/>
    <x v="0"/>
    <x v="0"/>
    <x v="3"/>
    <x v="2"/>
    <x v="1"/>
    <x v="0"/>
    <x v="0"/>
    <x v="0"/>
    <x v="9"/>
    <n v="0"/>
    <x v="2"/>
    <x v="1"/>
    <n v="0"/>
    <x v="0"/>
    <x v="6"/>
    <x v="5"/>
    <x v="0"/>
    <x v="2"/>
    <x v="0"/>
  </r>
  <r>
    <x v="0"/>
    <x v="55"/>
    <x v="55"/>
    <x v="5"/>
    <x v="0"/>
    <x v="1"/>
    <x v="0"/>
    <x v="0"/>
    <x v="6"/>
    <x v="2"/>
    <x v="0"/>
    <x v="0"/>
    <x v="5"/>
    <x v="0"/>
    <x v="1"/>
    <x v="1"/>
    <x v="0"/>
    <x v="6"/>
    <x v="0"/>
    <x v="10"/>
    <n v="2000"/>
    <x v="1"/>
    <x v="1"/>
    <n v="13000"/>
    <x v="1"/>
    <x v="6"/>
    <x v="5"/>
    <x v="1"/>
    <x v="2"/>
    <x v="1"/>
  </r>
  <r>
    <x v="0"/>
    <x v="56"/>
    <x v="56"/>
    <x v="5"/>
    <x v="0"/>
    <x v="26"/>
    <x v="0"/>
    <x v="0"/>
    <x v="6"/>
    <x v="2"/>
    <x v="0"/>
    <x v="0"/>
    <x v="0"/>
    <x v="3"/>
    <x v="1"/>
    <x v="1"/>
    <x v="0"/>
    <x v="12"/>
    <x v="0"/>
    <x v="9"/>
    <n v="0"/>
    <x v="1"/>
    <x v="1"/>
    <n v="14000"/>
    <x v="1"/>
    <x v="6"/>
    <x v="5"/>
    <x v="0"/>
    <x v="2"/>
    <x v="0"/>
  </r>
  <r>
    <x v="0"/>
    <x v="57"/>
    <x v="57"/>
    <x v="5"/>
    <x v="0"/>
    <x v="23"/>
    <x v="0"/>
    <x v="0"/>
    <x v="6"/>
    <x v="2"/>
    <x v="0"/>
    <x v="0"/>
    <x v="0"/>
    <x v="3"/>
    <x v="3"/>
    <x v="3"/>
    <x v="0"/>
    <x v="0"/>
    <x v="0"/>
    <x v="9"/>
    <n v="0"/>
    <x v="1"/>
    <x v="1"/>
    <n v="0"/>
    <x v="0"/>
    <x v="6"/>
    <x v="5"/>
    <x v="0"/>
    <x v="2"/>
    <x v="0"/>
  </r>
  <r>
    <x v="0"/>
    <x v="58"/>
    <x v="58"/>
    <x v="5"/>
    <x v="1"/>
    <x v="17"/>
    <x v="0"/>
    <x v="0"/>
    <x v="6"/>
    <x v="2"/>
    <x v="0"/>
    <x v="0"/>
    <x v="0"/>
    <x v="7"/>
    <x v="1"/>
    <x v="1"/>
    <x v="0"/>
    <x v="5"/>
    <x v="0"/>
    <x v="9"/>
    <n v="0"/>
    <x v="1"/>
    <x v="1"/>
    <n v="12000"/>
    <x v="1"/>
    <x v="6"/>
    <x v="5"/>
    <x v="0"/>
    <x v="3"/>
    <x v="0"/>
  </r>
  <r>
    <x v="0"/>
    <x v="59"/>
    <x v="59"/>
    <x v="5"/>
    <x v="0"/>
    <x v="27"/>
    <x v="0"/>
    <x v="0"/>
    <x v="6"/>
    <x v="2"/>
    <x v="0"/>
    <x v="0"/>
    <x v="5"/>
    <x v="19"/>
    <x v="1"/>
    <x v="1"/>
    <x v="0"/>
    <x v="13"/>
    <x v="0"/>
    <x v="10"/>
    <n v="4000"/>
    <x v="1"/>
    <x v="1"/>
    <n v="12500"/>
    <x v="1"/>
    <x v="6"/>
    <x v="5"/>
    <x v="1"/>
    <x v="2"/>
    <x v="1"/>
  </r>
  <r>
    <x v="0"/>
    <x v="60"/>
    <x v="60"/>
    <x v="5"/>
    <x v="1"/>
    <x v="9"/>
    <x v="0"/>
    <x v="0"/>
    <x v="6"/>
    <x v="2"/>
    <x v="0"/>
    <x v="0"/>
    <x v="6"/>
    <x v="7"/>
    <x v="1"/>
    <x v="1"/>
    <x v="0"/>
    <x v="0"/>
    <x v="0"/>
    <x v="9"/>
    <n v="0"/>
    <x v="1"/>
    <x v="1"/>
    <n v="0"/>
    <x v="0"/>
    <x v="6"/>
    <x v="5"/>
    <x v="2"/>
    <x v="1"/>
    <x v="2"/>
  </r>
  <r>
    <x v="0"/>
    <x v="61"/>
    <x v="61"/>
    <x v="5"/>
    <x v="0"/>
    <x v="28"/>
    <x v="0"/>
    <x v="0"/>
    <x v="6"/>
    <x v="2"/>
    <x v="0"/>
    <x v="0"/>
    <x v="5"/>
    <x v="7"/>
    <x v="1"/>
    <x v="1"/>
    <x v="0"/>
    <x v="0"/>
    <x v="0"/>
    <x v="10"/>
    <n v="0"/>
    <x v="1"/>
    <x v="1"/>
    <n v="0"/>
    <x v="1"/>
    <x v="6"/>
    <x v="5"/>
    <x v="1"/>
    <x v="1"/>
    <x v="1"/>
  </r>
  <r>
    <x v="0"/>
    <x v="62"/>
    <x v="62"/>
    <x v="5"/>
    <x v="1"/>
    <x v="1"/>
    <x v="0"/>
    <x v="0"/>
    <x v="6"/>
    <x v="2"/>
    <x v="0"/>
    <x v="0"/>
    <x v="0"/>
    <x v="0"/>
    <x v="1"/>
    <x v="1"/>
    <x v="0"/>
    <x v="6"/>
    <x v="0"/>
    <x v="9"/>
    <n v="2000"/>
    <x v="1"/>
    <x v="1"/>
    <n v="13000"/>
    <x v="1"/>
    <x v="6"/>
    <x v="5"/>
    <x v="0"/>
    <x v="2"/>
    <x v="0"/>
  </r>
  <r>
    <x v="0"/>
    <x v="63"/>
    <x v="63"/>
    <x v="5"/>
    <x v="1"/>
    <x v="1"/>
    <x v="0"/>
    <x v="0"/>
    <x v="6"/>
    <x v="2"/>
    <x v="0"/>
    <x v="0"/>
    <x v="5"/>
    <x v="0"/>
    <x v="1"/>
    <x v="1"/>
    <x v="0"/>
    <x v="0"/>
    <x v="0"/>
    <x v="10"/>
    <n v="2000"/>
    <x v="1"/>
    <x v="1"/>
    <n v="0"/>
    <x v="1"/>
    <x v="6"/>
    <x v="5"/>
    <x v="1"/>
    <x v="2"/>
    <x v="1"/>
  </r>
  <r>
    <x v="0"/>
    <x v="64"/>
    <x v="64"/>
    <x v="5"/>
    <x v="1"/>
    <x v="29"/>
    <x v="0"/>
    <x v="0"/>
    <x v="6"/>
    <x v="2"/>
    <x v="0"/>
    <x v="0"/>
    <x v="0"/>
    <x v="3"/>
    <x v="3"/>
    <x v="1"/>
    <x v="0"/>
    <x v="5"/>
    <x v="0"/>
    <x v="9"/>
    <n v="0"/>
    <x v="1"/>
    <x v="1"/>
    <n v="12000"/>
    <x v="1"/>
    <x v="6"/>
    <x v="5"/>
    <x v="0"/>
    <x v="2"/>
    <x v="0"/>
  </r>
  <r>
    <x v="0"/>
    <x v="65"/>
    <x v="65"/>
    <x v="5"/>
    <x v="0"/>
    <x v="23"/>
    <x v="0"/>
    <x v="0"/>
    <x v="6"/>
    <x v="2"/>
    <x v="0"/>
    <x v="0"/>
    <x v="0"/>
    <x v="3"/>
    <x v="1"/>
    <x v="1"/>
    <x v="0"/>
    <x v="20"/>
    <x v="0"/>
    <x v="9"/>
    <n v="0"/>
    <x v="1"/>
    <x v="1"/>
    <n v="16000"/>
    <x v="1"/>
    <x v="6"/>
    <x v="5"/>
    <x v="0"/>
    <x v="2"/>
    <x v="0"/>
  </r>
  <r>
    <x v="0"/>
    <x v="66"/>
    <x v="66"/>
    <x v="6"/>
    <x v="0"/>
    <x v="1"/>
    <x v="0"/>
    <x v="0"/>
    <x v="7"/>
    <x v="6"/>
    <x v="0"/>
    <x v="5"/>
    <x v="0"/>
    <x v="7"/>
    <x v="1"/>
    <x v="1"/>
    <x v="1"/>
    <x v="0"/>
    <x v="0"/>
    <x v="11"/>
    <n v="0"/>
    <x v="1"/>
    <x v="1"/>
    <n v="0"/>
    <x v="0"/>
    <x v="7"/>
    <x v="6"/>
    <x v="0"/>
    <x v="7"/>
    <x v="0"/>
  </r>
  <r>
    <x v="0"/>
    <x v="67"/>
    <x v="67"/>
    <x v="6"/>
    <x v="0"/>
    <x v="1"/>
    <x v="0"/>
    <x v="0"/>
    <x v="7"/>
    <x v="6"/>
    <x v="0"/>
    <x v="5"/>
    <x v="0"/>
    <x v="0"/>
    <x v="3"/>
    <x v="1"/>
    <x v="0"/>
    <x v="0"/>
    <x v="0"/>
    <x v="11"/>
    <n v="0"/>
    <x v="1"/>
    <x v="1"/>
    <n v="0"/>
    <x v="1"/>
    <x v="7"/>
    <x v="6"/>
    <x v="0"/>
    <x v="8"/>
    <x v="0"/>
  </r>
  <r>
    <x v="0"/>
    <x v="68"/>
    <x v="68"/>
    <x v="6"/>
    <x v="0"/>
    <x v="1"/>
    <x v="0"/>
    <x v="0"/>
    <x v="7"/>
    <x v="6"/>
    <x v="0"/>
    <x v="5"/>
    <x v="0"/>
    <x v="7"/>
    <x v="1"/>
    <x v="1"/>
    <x v="1"/>
    <x v="0"/>
    <x v="0"/>
    <x v="11"/>
    <n v="0"/>
    <x v="1"/>
    <x v="1"/>
    <n v="0"/>
    <x v="0"/>
    <x v="7"/>
    <x v="6"/>
    <x v="0"/>
    <x v="7"/>
    <x v="0"/>
  </r>
  <r>
    <x v="0"/>
    <x v="69"/>
    <x v="69"/>
    <x v="7"/>
    <x v="1"/>
    <x v="9"/>
    <x v="0"/>
    <x v="0"/>
    <x v="8"/>
    <x v="3"/>
    <x v="0"/>
    <x v="0"/>
    <x v="0"/>
    <x v="20"/>
    <x v="1"/>
    <x v="1"/>
    <x v="0"/>
    <x v="10"/>
    <x v="0"/>
    <x v="12"/>
    <n v="0"/>
    <x v="1"/>
    <x v="1"/>
    <n v="7500"/>
    <x v="1"/>
    <x v="8"/>
    <x v="7"/>
    <x v="0"/>
    <x v="4"/>
    <x v="0"/>
  </r>
  <r>
    <x v="0"/>
    <x v="70"/>
    <x v="70"/>
    <x v="7"/>
    <x v="1"/>
    <x v="1"/>
    <x v="0"/>
    <x v="0"/>
    <x v="8"/>
    <x v="3"/>
    <x v="0"/>
    <x v="0"/>
    <x v="0"/>
    <x v="0"/>
    <x v="1"/>
    <x v="1"/>
    <x v="0"/>
    <x v="19"/>
    <x v="0"/>
    <x v="12"/>
    <n v="2500"/>
    <x v="1"/>
    <x v="1"/>
    <n v="7000"/>
    <x v="1"/>
    <x v="8"/>
    <x v="7"/>
    <x v="0"/>
    <x v="4"/>
    <x v="0"/>
  </r>
  <r>
    <x v="0"/>
    <x v="71"/>
    <x v="71"/>
    <x v="7"/>
    <x v="0"/>
    <x v="3"/>
    <x v="0"/>
    <x v="0"/>
    <x v="8"/>
    <x v="3"/>
    <x v="0"/>
    <x v="0"/>
    <x v="0"/>
    <x v="8"/>
    <x v="1"/>
    <x v="1"/>
    <x v="0"/>
    <x v="4"/>
    <x v="0"/>
    <x v="12"/>
    <n v="-3000"/>
    <x v="1"/>
    <x v="1"/>
    <n v="15000"/>
    <x v="1"/>
    <x v="8"/>
    <x v="7"/>
    <x v="0"/>
    <x v="4"/>
    <x v="0"/>
  </r>
  <r>
    <x v="0"/>
    <x v="72"/>
    <x v="72"/>
    <x v="7"/>
    <x v="1"/>
    <x v="0"/>
    <x v="0"/>
    <x v="0"/>
    <x v="8"/>
    <x v="3"/>
    <x v="0"/>
    <x v="0"/>
    <x v="0"/>
    <x v="19"/>
    <x v="1"/>
    <x v="1"/>
    <x v="0"/>
    <x v="0"/>
    <x v="0"/>
    <x v="12"/>
    <n v="4500"/>
    <x v="1"/>
    <x v="1"/>
    <n v="0"/>
    <x v="1"/>
    <x v="8"/>
    <x v="7"/>
    <x v="0"/>
    <x v="4"/>
    <x v="0"/>
  </r>
  <r>
    <x v="0"/>
    <x v="73"/>
    <x v="73"/>
    <x v="7"/>
    <x v="1"/>
    <x v="4"/>
    <x v="0"/>
    <x v="0"/>
    <x v="8"/>
    <x v="3"/>
    <x v="0"/>
    <x v="0"/>
    <x v="0"/>
    <x v="20"/>
    <x v="3"/>
    <x v="1"/>
    <x v="0"/>
    <x v="0"/>
    <x v="0"/>
    <x v="12"/>
    <n v="0"/>
    <x v="1"/>
    <x v="1"/>
    <n v="0"/>
    <x v="1"/>
    <x v="8"/>
    <x v="7"/>
    <x v="0"/>
    <x v="4"/>
    <x v="0"/>
  </r>
  <r>
    <x v="0"/>
    <x v="74"/>
    <x v="74"/>
    <x v="7"/>
    <x v="1"/>
    <x v="4"/>
    <x v="0"/>
    <x v="0"/>
    <x v="8"/>
    <x v="3"/>
    <x v="0"/>
    <x v="0"/>
    <x v="0"/>
    <x v="12"/>
    <x v="1"/>
    <x v="5"/>
    <x v="0"/>
    <x v="0"/>
    <x v="0"/>
    <x v="12"/>
    <n v="-4000"/>
    <x v="1"/>
    <x v="6"/>
    <n v="0"/>
    <x v="0"/>
    <x v="8"/>
    <x v="7"/>
    <x v="0"/>
    <x v="4"/>
    <x v="0"/>
  </r>
  <r>
    <x v="0"/>
    <x v="75"/>
    <x v="75"/>
    <x v="7"/>
    <x v="0"/>
    <x v="4"/>
    <x v="0"/>
    <x v="0"/>
    <x v="8"/>
    <x v="3"/>
    <x v="0"/>
    <x v="0"/>
    <x v="0"/>
    <x v="21"/>
    <x v="1"/>
    <x v="1"/>
    <x v="0"/>
    <x v="6"/>
    <x v="0"/>
    <x v="12"/>
    <n v="-1000"/>
    <x v="1"/>
    <x v="1"/>
    <n v="13500"/>
    <x v="1"/>
    <x v="8"/>
    <x v="7"/>
    <x v="0"/>
    <x v="4"/>
    <x v="0"/>
  </r>
  <r>
    <x v="0"/>
    <x v="76"/>
    <x v="76"/>
    <x v="7"/>
    <x v="1"/>
    <x v="30"/>
    <x v="0"/>
    <x v="0"/>
    <x v="8"/>
    <x v="3"/>
    <x v="0"/>
    <x v="0"/>
    <x v="0"/>
    <x v="20"/>
    <x v="1"/>
    <x v="1"/>
    <x v="0"/>
    <x v="0"/>
    <x v="0"/>
    <x v="12"/>
    <n v="0"/>
    <x v="1"/>
    <x v="1"/>
    <n v="0"/>
    <x v="1"/>
    <x v="8"/>
    <x v="7"/>
    <x v="0"/>
    <x v="4"/>
    <x v="0"/>
  </r>
  <r>
    <x v="0"/>
    <x v="77"/>
    <x v="77"/>
    <x v="7"/>
    <x v="1"/>
    <x v="31"/>
    <x v="0"/>
    <x v="0"/>
    <x v="8"/>
    <x v="3"/>
    <x v="0"/>
    <x v="0"/>
    <x v="0"/>
    <x v="7"/>
    <x v="1"/>
    <x v="1"/>
    <x v="1"/>
    <x v="0"/>
    <x v="0"/>
    <x v="12"/>
    <n v="0"/>
    <x v="1"/>
    <x v="1"/>
    <n v="5500"/>
    <x v="1"/>
    <x v="8"/>
    <x v="7"/>
    <x v="0"/>
    <x v="9"/>
    <x v="0"/>
  </r>
  <r>
    <x v="0"/>
    <x v="78"/>
    <x v="78"/>
    <x v="7"/>
    <x v="0"/>
    <x v="17"/>
    <x v="0"/>
    <x v="0"/>
    <x v="8"/>
    <x v="3"/>
    <x v="0"/>
    <x v="0"/>
    <x v="0"/>
    <x v="20"/>
    <x v="2"/>
    <x v="1"/>
    <x v="0"/>
    <x v="0"/>
    <x v="0"/>
    <x v="12"/>
    <n v="0"/>
    <x v="2"/>
    <x v="1"/>
    <n v="0"/>
    <x v="0"/>
    <x v="8"/>
    <x v="7"/>
    <x v="0"/>
    <x v="4"/>
    <x v="0"/>
  </r>
  <r>
    <x v="0"/>
    <x v="79"/>
    <x v="79"/>
    <x v="7"/>
    <x v="0"/>
    <x v="1"/>
    <x v="0"/>
    <x v="0"/>
    <x v="8"/>
    <x v="3"/>
    <x v="0"/>
    <x v="0"/>
    <x v="0"/>
    <x v="22"/>
    <x v="3"/>
    <x v="3"/>
    <x v="0"/>
    <x v="12"/>
    <x v="0"/>
    <x v="12"/>
    <n v="3000"/>
    <x v="1"/>
    <x v="1"/>
    <n v="14500"/>
    <x v="1"/>
    <x v="8"/>
    <x v="7"/>
    <x v="0"/>
    <x v="4"/>
    <x v="0"/>
  </r>
  <r>
    <x v="0"/>
    <x v="80"/>
    <x v="80"/>
    <x v="7"/>
    <x v="0"/>
    <x v="0"/>
    <x v="0"/>
    <x v="0"/>
    <x v="8"/>
    <x v="3"/>
    <x v="0"/>
    <x v="0"/>
    <x v="0"/>
    <x v="20"/>
    <x v="1"/>
    <x v="1"/>
    <x v="0"/>
    <x v="5"/>
    <x v="0"/>
    <x v="12"/>
    <n v="0"/>
    <x v="1"/>
    <x v="1"/>
    <n v="12500"/>
    <x v="1"/>
    <x v="8"/>
    <x v="7"/>
    <x v="0"/>
    <x v="4"/>
    <x v="0"/>
  </r>
  <r>
    <x v="0"/>
    <x v="81"/>
    <x v="81"/>
    <x v="7"/>
    <x v="0"/>
    <x v="10"/>
    <x v="0"/>
    <x v="0"/>
    <x v="8"/>
    <x v="3"/>
    <x v="0"/>
    <x v="0"/>
    <x v="7"/>
    <x v="3"/>
    <x v="1"/>
    <x v="1"/>
    <x v="0"/>
    <x v="12"/>
    <x v="0"/>
    <x v="13"/>
    <n v="500"/>
    <x v="1"/>
    <x v="1"/>
    <n v="14500"/>
    <x v="1"/>
    <x v="8"/>
    <x v="7"/>
    <x v="1"/>
    <x v="4"/>
    <x v="1"/>
  </r>
  <r>
    <x v="0"/>
    <x v="82"/>
    <x v="82"/>
    <x v="7"/>
    <x v="1"/>
    <x v="0"/>
    <x v="0"/>
    <x v="0"/>
    <x v="8"/>
    <x v="3"/>
    <x v="0"/>
    <x v="0"/>
    <x v="0"/>
    <x v="3"/>
    <x v="1"/>
    <x v="1"/>
    <x v="0"/>
    <x v="21"/>
    <x v="0"/>
    <x v="12"/>
    <n v="500"/>
    <x v="1"/>
    <x v="1"/>
    <n v="10000"/>
    <x v="1"/>
    <x v="8"/>
    <x v="7"/>
    <x v="0"/>
    <x v="4"/>
    <x v="0"/>
  </r>
  <r>
    <x v="0"/>
    <x v="83"/>
    <x v="83"/>
    <x v="7"/>
    <x v="1"/>
    <x v="3"/>
    <x v="0"/>
    <x v="0"/>
    <x v="8"/>
    <x v="3"/>
    <x v="0"/>
    <x v="0"/>
    <x v="0"/>
    <x v="23"/>
    <x v="1"/>
    <x v="1"/>
    <x v="0"/>
    <x v="0"/>
    <x v="0"/>
    <x v="12"/>
    <n v="-9125"/>
    <x v="1"/>
    <x v="1"/>
    <n v="0"/>
    <x v="1"/>
    <x v="8"/>
    <x v="7"/>
    <x v="0"/>
    <x v="4"/>
    <x v="0"/>
  </r>
  <r>
    <x v="1"/>
    <x v="84"/>
    <x v="84"/>
    <x v="7"/>
    <x v="0"/>
    <x v="32"/>
    <x v="0"/>
    <x v="0"/>
    <x v="1"/>
    <x v="1"/>
    <x v="1"/>
    <x v="1"/>
    <x v="0"/>
    <x v="7"/>
    <x v="1"/>
    <x v="1"/>
    <x v="0"/>
    <x v="0"/>
    <x v="2"/>
    <x v="2"/>
    <n v="0"/>
    <x v="1"/>
    <x v="1"/>
    <n v="0"/>
    <x v="2"/>
    <x v="1"/>
    <x v="7"/>
    <x v="0"/>
    <x v="1"/>
    <x v="0"/>
  </r>
  <r>
    <x v="0"/>
    <x v="85"/>
    <x v="85"/>
    <x v="7"/>
    <x v="1"/>
    <x v="33"/>
    <x v="0"/>
    <x v="0"/>
    <x v="8"/>
    <x v="3"/>
    <x v="0"/>
    <x v="0"/>
    <x v="7"/>
    <x v="7"/>
    <x v="1"/>
    <x v="1"/>
    <x v="0"/>
    <x v="0"/>
    <x v="0"/>
    <x v="13"/>
    <n v="0"/>
    <x v="1"/>
    <x v="1"/>
    <n v="0"/>
    <x v="1"/>
    <x v="8"/>
    <x v="7"/>
    <x v="1"/>
    <x v="1"/>
    <x v="1"/>
  </r>
  <r>
    <x v="1"/>
    <x v="86"/>
    <x v="86"/>
    <x v="7"/>
    <x v="1"/>
    <x v="1"/>
    <x v="0"/>
    <x v="0"/>
    <x v="1"/>
    <x v="1"/>
    <x v="1"/>
    <x v="1"/>
    <x v="0"/>
    <x v="7"/>
    <x v="1"/>
    <x v="1"/>
    <x v="0"/>
    <x v="0"/>
    <x v="2"/>
    <x v="2"/>
    <n v="0"/>
    <x v="1"/>
    <x v="1"/>
    <n v="0"/>
    <x v="2"/>
    <x v="1"/>
    <x v="7"/>
    <x v="0"/>
    <x v="1"/>
    <x v="0"/>
  </r>
  <r>
    <x v="0"/>
    <x v="87"/>
    <x v="87"/>
    <x v="7"/>
    <x v="0"/>
    <x v="34"/>
    <x v="0"/>
    <x v="0"/>
    <x v="8"/>
    <x v="3"/>
    <x v="0"/>
    <x v="0"/>
    <x v="0"/>
    <x v="22"/>
    <x v="1"/>
    <x v="1"/>
    <x v="0"/>
    <x v="13"/>
    <x v="0"/>
    <x v="12"/>
    <n v="3000"/>
    <x v="1"/>
    <x v="1"/>
    <n v="13000"/>
    <x v="1"/>
    <x v="8"/>
    <x v="7"/>
    <x v="0"/>
    <x v="4"/>
    <x v="0"/>
  </r>
  <r>
    <x v="1"/>
    <x v="88"/>
    <x v="88"/>
    <x v="8"/>
    <x v="1"/>
    <x v="35"/>
    <x v="0"/>
    <x v="0"/>
    <x v="1"/>
    <x v="1"/>
    <x v="1"/>
    <x v="1"/>
    <x v="0"/>
    <x v="7"/>
    <x v="1"/>
    <x v="1"/>
    <x v="0"/>
    <x v="0"/>
    <x v="3"/>
    <x v="2"/>
    <n v="0"/>
    <x v="1"/>
    <x v="1"/>
    <n v="0"/>
    <x v="2"/>
    <x v="1"/>
    <x v="8"/>
    <x v="0"/>
    <x v="1"/>
    <x v="0"/>
  </r>
  <r>
    <x v="0"/>
    <x v="89"/>
    <x v="89"/>
    <x v="8"/>
    <x v="0"/>
    <x v="1"/>
    <x v="0"/>
    <x v="0"/>
    <x v="9"/>
    <x v="7"/>
    <x v="4"/>
    <x v="6"/>
    <x v="0"/>
    <x v="1"/>
    <x v="1"/>
    <x v="0"/>
    <x v="0"/>
    <x v="22"/>
    <x v="0"/>
    <x v="14"/>
    <n v="-1500"/>
    <x v="1"/>
    <x v="7"/>
    <n v="15500"/>
    <x v="1"/>
    <x v="9"/>
    <x v="8"/>
    <x v="0"/>
    <x v="10"/>
    <x v="0"/>
  </r>
  <r>
    <x v="0"/>
    <x v="90"/>
    <x v="90"/>
    <x v="8"/>
    <x v="1"/>
    <x v="4"/>
    <x v="0"/>
    <x v="0"/>
    <x v="9"/>
    <x v="7"/>
    <x v="4"/>
    <x v="6"/>
    <x v="0"/>
    <x v="24"/>
    <x v="8"/>
    <x v="1"/>
    <x v="0"/>
    <x v="4"/>
    <x v="0"/>
    <x v="14"/>
    <n v="-5000"/>
    <x v="10"/>
    <x v="1"/>
    <n v="22000"/>
    <x v="1"/>
    <x v="9"/>
    <x v="8"/>
    <x v="0"/>
    <x v="10"/>
    <x v="0"/>
  </r>
  <r>
    <x v="0"/>
    <x v="91"/>
    <x v="91"/>
    <x v="8"/>
    <x v="1"/>
    <x v="36"/>
    <x v="0"/>
    <x v="0"/>
    <x v="9"/>
    <x v="7"/>
    <x v="4"/>
    <x v="6"/>
    <x v="8"/>
    <x v="7"/>
    <x v="1"/>
    <x v="1"/>
    <x v="0"/>
    <x v="0"/>
    <x v="0"/>
    <x v="14"/>
    <n v="0"/>
    <x v="1"/>
    <x v="1"/>
    <n v="0"/>
    <x v="0"/>
    <x v="9"/>
    <x v="8"/>
    <x v="2"/>
    <x v="1"/>
    <x v="2"/>
  </r>
  <r>
    <x v="0"/>
    <x v="92"/>
    <x v="92"/>
    <x v="8"/>
    <x v="1"/>
    <x v="1"/>
    <x v="0"/>
    <x v="0"/>
    <x v="9"/>
    <x v="7"/>
    <x v="4"/>
    <x v="6"/>
    <x v="0"/>
    <x v="19"/>
    <x v="1"/>
    <x v="1"/>
    <x v="0"/>
    <x v="22"/>
    <x v="0"/>
    <x v="14"/>
    <n v="5500"/>
    <x v="1"/>
    <x v="1"/>
    <n v="15500"/>
    <x v="1"/>
    <x v="9"/>
    <x v="8"/>
    <x v="0"/>
    <x v="10"/>
    <x v="0"/>
  </r>
  <r>
    <x v="0"/>
    <x v="93"/>
    <x v="93"/>
    <x v="8"/>
    <x v="1"/>
    <x v="37"/>
    <x v="0"/>
    <x v="0"/>
    <x v="9"/>
    <x v="7"/>
    <x v="4"/>
    <x v="6"/>
    <x v="0"/>
    <x v="1"/>
    <x v="1"/>
    <x v="1"/>
    <x v="0"/>
    <x v="23"/>
    <x v="0"/>
    <x v="14"/>
    <n v="-1500"/>
    <x v="1"/>
    <x v="1"/>
    <n v="10000"/>
    <x v="1"/>
    <x v="9"/>
    <x v="8"/>
    <x v="0"/>
    <x v="10"/>
    <x v="0"/>
  </r>
  <r>
    <x v="0"/>
    <x v="94"/>
    <x v="94"/>
    <x v="8"/>
    <x v="0"/>
    <x v="38"/>
    <x v="0"/>
    <x v="0"/>
    <x v="9"/>
    <x v="7"/>
    <x v="4"/>
    <x v="6"/>
    <x v="0"/>
    <x v="24"/>
    <x v="3"/>
    <x v="1"/>
    <x v="0"/>
    <x v="9"/>
    <x v="0"/>
    <x v="14"/>
    <n v="-5000"/>
    <x v="7"/>
    <x v="1"/>
    <n v="18500"/>
    <x v="1"/>
    <x v="9"/>
    <x v="8"/>
    <x v="0"/>
    <x v="10"/>
    <x v="0"/>
  </r>
  <r>
    <x v="0"/>
    <x v="95"/>
    <x v="95"/>
    <x v="8"/>
    <x v="1"/>
    <x v="39"/>
    <x v="0"/>
    <x v="1"/>
    <x v="9"/>
    <x v="7"/>
    <x v="4"/>
    <x v="6"/>
    <x v="0"/>
    <x v="7"/>
    <x v="1"/>
    <x v="1"/>
    <x v="2"/>
    <x v="0"/>
    <x v="0"/>
    <x v="14"/>
    <n v="0"/>
    <x v="1"/>
    <x v="1"/>
    <n v="2450"/>
    <x v="1"/>
    <x v="9"/>
    <x v="8"/>
    <x v="0"/>
    <x v="11"/>
    <x v="0"/>
  </r>
  <r>
    <x v="0"/>
    <x v="96"/>
    <x v="96"/>
    <x v="9"/>
    <x v="0"/>
    <x v="1"/>
    <x v="0"/>
    <x v="0"/>
    <x v="10"/>
    <x v="8"/>
    <x v="5"/>
    <x v="7"/>
    <x v="0"/>
    <x v="9"/>
    <x v="1"/>
    <x v="1"/>
    <x v="0"/>
    <x v="22"/>
    <x v="0"/>
    <x v="15"/>
    <n v="-1000"/>
    <x v="1"/>
    <x v="1"/>
    <n v="17000"/>
    <x v="1"/>
    <x v="10"/>
    <x v="9"/>
    <x v="0"/>
    <x v="12"/>
    <x v="0"/>
  </r>
  <r>
    <x v="0"/>
    <x v="97"/>
    <x v="97"/>
    <x v="9"/>
    <x v="1"/>
    <x v="40"/>
    <x v="0"/>
    <x v="0"/>
    <x v="10"/>
    <x v="8"/>
    <x v="5"/>
    <x v="7"/>
    <x v="0"/>
    <x v="7"/>
    <x v="1"/>
    <x v="1"/>
    <x v="0"/>
    <x v="24"/>
    <x v="0"/>
    <x v="15"/>
    <n v="0"/>
    <x v="1"/>
    <x v="1"/>
    <n v="14000"/>
    <x v="1"/>
    <x v="10"/>
    <x v="9"/>
    <x v="0"/>
    <x v="3"/>
    <x v="0"/>
  </r>
  <r>
    <x v="0"/>
    <x v="98"/>
    <x v="98"/>
    <x v="9"/>
    <x v="1"/>
    <x v="0"/>
    <x v="0"/>
    <x v="0"/>
    <x v="10"/>
    <x v="8"/>
    <x v="5"/>
    <x v="7"/>
    <x v="9"/>
    <x v="6"/>
    <x v="1"/>
    <x v="1"/>
    <x v="0"/>
    <x v="24"/>
    <x v="0"/>
    <x v="0"/>
    <n v="8000"/>
    <x v="1"/>
    <x v="1"/>
    <n v="14000"/>
    <x v="1"/>
    <x v="10"/>
    <x v="9"/>
    <x v="1"/>
    <x v="12"/>
    <x v="1"/>
  </r>
  <r>
    <x v="0"/>
    <x v="99"/>
    <x v="99"/>
    <x v="9"/>
    <x v="1"/>
    <x v="1"/>
    <x v="0"/>
    <x v="0"/>
    <x v="10"/>
    <x v="8"/>
    <x v="5"/>
    <x v="7"/>
    <x v="0"/>
    <x v="1"/>
    <x v="1"/>
    <x v="1"/>
    <x v="0"/>
    <x v="25"/>
    <x v="0"/>
    <x v="15"/>
    <n v="0"/>
    <x v="1"/>
    <x v="1"/>
    <n v="10000"/>
    <x v="1"/>
    <x v="10"/>
    <x v="9"/>
    <x v="0"/>
    <x v="12"/>
    <x v="0"/>
  </r>
  <r>
    <x v="0"/>
    <x v="100"/>
    <x v="100"/>
    <x v="9"/>
    <x v="1"/>
    <x v="1"/>
    <x v="0"/>
    <x v="0"/>
    <x v="10"/>
    <x v="8"/>
    <x v="5"/>
    <x v="7"/>
    <x v="0"/>
    <x v="18"/>
    <x v="1"/>
    <x v="1"/>
    <x v="0"/>
    <x v="0"/>
    <x v="0"/>
    <x v="15"/>
    <n v="4000"/>
    <x v="1"/>
    <x v="1"/>
    <n v="0"/>
    <x v="1"/>
    <x v="10"/>
    <x v="9"/>
    <x v="0"/>
    <x v="12"/>
    <x v="0"/>
  </r>
  <r>
    <x v="0"/>
    <x v="101"/>
    <x v="101"/>
    <x v="9"/>
    <x v="1"/>
    <x v="1"/>
    <x v="0"/>
    <x v="0"/>
    <x v="10"/>
    <x v="8"/>
    <x v="5"/>
    <x v="7"/>
    <x v="0"/>
    <x v="0"/>
    <x v="1"/>
    <x v="1"/>
    <x v="3"/>
    <x v="0"/>
    <x v="0"/>
    <x v="15"/>
    <n v="5000"/>
    <x v="1"/>
    <x v="1"/>
    <n v="5000"/>
    <x v="1"/>
    <x v="10"/>
    <x v="9"/>
    <x v="0"/>
    <x v="12"/>
    <x v="0"/>
  </r>
  <r>
    <x v="0"/>
    <x v="102"/>
    <x v="102"/>
    <x v="9"/>
    <x v="1"/>
    <x v="1"/>
    <x v="0"/>
    <x v="0"/>
    <x v="10"/>
    <x v="8"/>
    <x v="5"/>
    <x v="7"/>
    <x v="0"/>
    <x v="13"/>
    <x v="1"/>
    <x v="1"/>
    <x v="0"/>
    <x v="9"/>
    <x v="0"/>
    <x v="15"/>
    <n v="-4000"/>
    <x v="1"/>
    <x v="1"/>
    <n v="20000"/>
    <x v="1"/>
    <x v="10"/>
    <x v="9"/>
    <x v="0"/>
    <x v="12"/>
    <x v="0"/>
  </r>
  <r>
    <x v="0"/>
    <x v="103"/>
    <x v="103"/>
    <x v="9"/>
    <x v="1"/>
    <x v="14"/>
    <x v="0"/>
    <x v="0"/>
    <x v="10"/>
    <x v="8"/>
    <x v="5"/>
    <x v="7"/>
    <x v="0"/>
    <x v="13"/>
    <x v="5"/>
    <x v="5"/>
    <x v="0"/>
    <x v="0"/>
    <x v="0"/>
    <x v="15"/>
    <n v="-4000"/>
    <x v="8"/>
    <x v="1"/>
    <n v="0"/>
    <x v="0"/>
    <x v="10"/>
    <x v="9"/>
    <x v="0"/>
    <x v="12"/>
    <x v="0"/>
  </r>
  <r>
    <x v="0"/>
    <x v="104"/>
    <x v="104"/>
    <x v="9"/>
    <x v="1"/>
    <x v="41"/>
    <x v="0"/>
    <x v="0"/>
    <x v="10"/>
    <x v="8"/>
    <x v="5"/>
    <x v="7"/>
    <x v="0"/>
    <x v="25"/>
    <x v="4"/>
    <x v="0"/>
    <x v="0"/>
    <x v="0"/>
    <x v="0"/>
    <x v="15"/>
    <n v="-6500"/>
    <x v="12"/>
    <x v="2"/>
    <n v="0"/>
    <x v="0"/>
    <x v="10"/>
    <x v="9"/>
    <x v="0"/>
    <x v="12"/>
    <x v="0"/>
  </r>
  <r>
    <x v="0"/>
    <x v="105"/>
    <x v="105"/>
    <x v="9"/>
    <x v="0"/>
    <x v="42"/>
    <x v="0"/>
    <x v="0"/>
    <x v="10"/>
    <x v="8"/>
    <x v="5"/>
    <x v="7"/>
    <x v="0"/>
    <x v="7"/>
    <x v="1"/>
    <x v="1"/>
    <x v="0"/>
    <x v="6"/>
    <x v="0"/>
    <x v="15"/>
    <n v="0"/>
    <x v="1"/>
    <x v="1"/>
    <n v="22000"/>
    <x v="1"/>
    <x v="10"/>
    <x v="9"/>
    <x v="0"/>
    <x v="3"/>
    <x v="0"/>
  </r>
  <r>
    <x v="1"/>
    <x v="106"/>
    <x v="106"/>
    <x v="10"/>
    <x v="1"/>
    <x v="35"/>
    <x v="0"/>
    <x v="0"/>
    <x v="1"/>
    <x v="1"/>
    <x v="1"/>
    <x v="1"/>
    <x v="0"/>
    <x v="7"/>
    <x v="1"/>
    <x v="1"/>
    <x v="0"/>
    <x v="0"/>
    <x v="4"/>
    <x v="2"/>
    <n v="0"/>
    <x v="1"/>
    <x v="1"/>
    <n v="0"/>
    <x v="2"/>
    <x v="1"/>
    <x v="10"/>
    <x v="0"/>
    <x v="1"/>
    <x v="0"/>
  </r>
  <r>
    <x v="0"/>
    <x v="107"/>
    <x v="107"/>
    <x v="10"/>
    <x v="1"/>
    <x v="19"/>
    <x v="0"/>
    <x v="0"/>
    <x v="11"/>
    <x v="8"/>
    <x v="5"/>
    <x v="3"/>
    <x v="0"/>
    <x v="26"/>
    <x v="1"/>
    <x v="1"/>
    <x v="0"/>
    <x v="0"/>
    <x v="0"/>
    <x v="16"/>
    <n v="-5000"/>
    <x v="1"/>
    <x v="1"/>
    <n v="0"/>
    <x v="1"/>
    <x v="11"/>
    <x v="10"/>
    <x v="0"/>
    <x v="12"/>
    <x v="0"/>
  </r>
  <r>
    <x v="0"/>
    <x v="108"/>
    <x v="108"/>
    <x v="10"/>
    <x v="1"/>
    <x v="40"/>
    <x v="1"/>
    <x v="2"/>
    <x v="11"/>
    <x v="8"/>
    <x v="5"/>
    <x v="3"/>
    <x v="0"/>
    <x v="11"/>
    <x v="5"/>
    <x v="1"/>
    <x v="0"/>
    <x v="0"/>
    <x v="0"/>
    <x v="16"/>
    <n v="-5500"/>
    <x v="8"/>
    <x v="1"/>
    <n v="0"/>
    <x v="1"/>
    <x v="11"/>
    <x v="10"/>
    <x v="0"/>
    <x v="12"/>
    <x v="0"/>
  </r>
  <r>
    <x v="0"/>
    <x v="109"/>
    <x v="109"/>
    <x v="10"/>
    <x v="0"/>
    <x v="9"/>
    <x v="0"/>
    <x v="0"/>
    <x v="11"/>
    <x v="8"/>
    <x v="5"/>
    <x v="3"/>
    <x v="0"/>
    <x v="11"/>
    <x v="5"/>
    <x v="5"/>
    <x v="0"/>
    <x v="0"/>
    <x v="0"/>
    <x v="16"/>
    <n v="-5500"/>
    <x v="8"/>
    <x v="3"/>
    <n v="0"/>
    <x v="0"/>
    <x v="11"/>
    <x v="10"/>
    <x v="0"/>
    <x v="12"/>
    <x v="0"/>
  </r>
  <r>
    <x v="0"/>
    <x v="110"/>
    <x v="110"/>
    <x v="11"/>
    <x v="0"/>
    <x v="40"/>
    <x v="0"/>
    <x v="0"/>
    <x v="12"/>
    <x v="8"/>
    <x v="5"/>
    <x v="8"/>
    <x v="0"/>
    <x v="7"/>
    <x v="1"/>
    <x v="1"/>
    <x v="0"/>
    <x v="5"/>
    <x v="0"/>
    <x v="17"/>
    <n v="0"/>
    <x v="1"/>
    <x v="1"/>
    <n v="24000"/>
    <x v="1"/>
    <x v="12"/>
    <x v="11"/>
    <x v="0"/>
    <x v="3"/>
    <x v="0"/>
  </r>
  <r>
    <x v="0"/>
    <x v="111"/>
    <x v="111"/>
    <x v="11"/>
    <x v="1"/>
    <x v="43"/>
    <x v="0"/>
    <x v="0"/>
    <x v="12"/>
    <x v="8"/>
    <x v="5"/>
    <x v="8"/>
    <x v="0"/>
    <x v="26"/>
    <x v="3"/>
    <x v="1"/>
    <x v="0"/>
    <x v="26"/>
    <x v="0"/>
    <x v="17"/>
    <n v="-5000"/>
    <x v="13"/>
    <x v="1"/>
    <n v="24400"/>
    <x v="1"/>
    <x v="12"/>
    <x v="11"/>
    <x v="0"/>
    <x v="12"/>
    <x v="0"/>
  </r>
  <r>
    <x v="0"/>
    <x v="112"/>
    <x v="112"/>
    <x v="11"/>
    <x v="1"/>
    <x v="17"/>
    <x v="0"/>
    <x v="0"/>
    <x v="12"/>
    <x v="8"/>
    <x v="5"/>
    <x v="8"/>
    <x v="0"/>
    <x v="27"/>
    <x v="1"/>
    <x v="1"/>
    <x v="0"/>
    <x v="0"/>
    <x v="0"/>
    <x v="17"/>
    <n v="-6000"/>
    <x v="1"/>
    <x v="1"/>
    <n v="0"/>
    <x v="1"/>
    <x v="12"/>
    <x v="11"/>
    <x v="0"/>
    <x v="12"/>
    <x v="0"/>
  </r>
  <r>
    <x v="0"/>
    <x v="113"/>
    <x v="113"/>
    <x v="11"/>
    <x v="0"/>
    <x v="25"/>
    <x v="0"/>
    <x v="0"/>
    <x v="12"/>
    <x v="8"/>
    <x v="5"/>
    <x v="8"/>
    <x v="0"/>
    <x v="27"/>
    <x v="1"/>
    <x v="1"/>
    <x v="0"/>
    <x v="6"/>
    <x v="0"/>
    <x v="17"/>
    <n v="-6000"/>
    <x v="1"/>
    <x v="1"/>
    <n v="25000"/>
    <x v="1"/>
    <x v="12"/>
    <x v="11"/>
    <x v="0"/>
    <x v="12"/>
    <x v="0"/>
  </r>
  <r>
    <x v="0"/>
    <x v="114"/>
    <x v="114"/>
    <x v="11"/>
    <x v="0"/>
    <x v="5"/>
    <x v="0"/>
    <x v="0"/>
    <x v="12"/>
    <x v="8"/>
    <x v="5"/>
    <x v="8"/>
    <x v="0"/>
    <x v="13"/>
    <x v="1"/>
    <x v="1"/>
    <x v="0"/>
    <x v="5"/>
    <x v="0"/>
    <x v="17"/>
    <n v="-4000"/>
    <x v="1"/>
    <x v="1"/>
    <n v="24000"/>
    <x v="1"/>
    <x v="12"/>
    <x v="11"/>
    <x v="0"/>
    <x v="12"/>
    <x v="0"/>
  </r>
  <r>
    <x v="0"/>
    <x v="115"/>
    <x v="115"/>
    <x v="11"/>
    <x v="1"/>
    <x v="44"/>
    <x v="1"/>
    <x v="2"/>
    <x v="12"/>
    <x v="8"/>
    <x v="5"/>
    <x v="8"/>
    <x v="0"/>
    <x v="28"/>
    <x v="1"/>
    <x v="1"/>
    <x v="0"/>
    <x v="0"/>
    <x v="0"/>
    <x v="17"/>
    <n v="-10000"/>
    <x v="1"/>
    <x v="1"/>
    <n v="0"/>
    <x v="1"/>
    <x v="12"/>
    <x v="11"/>
    <x v="0"/>
    <x v="12"/>
    <x v="0"/>
  </r>
  <r>
    <x v="0"/>
    <x v="116"/>
    <x v="116"/>
    <x v="11"/>
    <x v="0"/>
    <x v="14"/>
    <x v="0"/>
    <x v="0"/>
    <x v="12"/>
    <x v="8"/>
    <x v="5"/>
    <x v="8"/>
    <x v="0"/>
    <x v="27"/>
    <x v="9"/>
    <x v="4"/>
    <x v="0"/>
    <x v="0"/>
    <x v="0"/>
    <x v="17"/>
    <n v="-6000"/>
    <x v="9"/>
    <x v="7"/>
    <n v="0"/>
    <x v="0"/>
    <x v="12"/>
    <x v="11"/>
    <x v="0"/>
    <x v="12"/>
    <x v="0"/>
  </r>
  <r>
    <x v="0"/>
    <x v="117"/>
    <x v="117"/>
    <x v="11"/>
    <x v="0"/>
    <x v="45"/>
    <x v="0"/>
    <x v="0"/>
    <x v="12"/>
    <x v="8"/>
    <x v="5"/>
    <x v="8"/>
    <x v="0"/>
    <x v="0"/>
    <x v="1"/>
    <x v="1"/>
    <x v="0"/>
    <x v="0"/>
    <x v="0"/>
    <x v="17"/>
    <n v="5000"/>
    <x v="1"/>
    <x v="1"/>
    <n v="0"/>
    <x v="1"/>
    <x v="12"/>
    <x v="11"/>
    <x v="0"/>
    <x v="12"/>
    <x v="0"/>
  </r>
  <r>
    <x v="0"/>
    <x v="118"/>
    <x v="118"/>
    <x v="11"/>
    <x v="0"/>
    <x v="0"/>
    <x v="0"/>
    <x v="0"/>
    <x v="12"/>
    <x v="8"/>
    <x v="5"/>
    <x v="8"/>
    <x v="0"/>
    <x v="1"/>
    <x v="1"/>
    <x v="1"/>
    <x v="0"/>
    <x v="10"/>
    <x v="0"/>
    <x v="17"/>
    <n v="0"/>
    <x v="1"/>
    <x v="1"/>
    <n v="19000"/>
    <x v="1"/>
    <x v="12"/>
    <x v="11"/>
    <x v="0"/>
    <x v="12"/>
    <x v="0"/>
  </r>
  <r>
    <x v="0"/>
    <x v="119"/>
    <x v="119"/>
    <x v="12"/>
    <x v="1"/>
    <x v="46"/>
    <x v="0"/>
    <x v="0"/>
    <x v="13"/>
    <x v="9"/>
    <x v="5"/>
    <x v="4"/>
    <x v="0"/>
    <x v="29"/>
    <x v="1"/>
    <x v="1"/>
    <x v="0"/>
    <x v="0"/>
    <x v="0"/>
    <x v="18"/>
    <n v="-5000"/>
    <x v="1"/>
    <x v="1"/>
    <n v="0"/>
    <x v="1"/>
    <x v="13"/>
    <x v="12"/>
    <x v="0"/>
    <x v="13"/>
    <x v="0"/>
  </r>
  <r>
    <x v="0"/>
    <x v="120"/>
    <x v="120"/>
    <x v="12"/>
    <x v="1"/>
    <x v="10"/>
    <x v="0"/>
    <x v="0"/>
    <x v="13"/>
    <x v="9"/>
    <x v="5"/>
    <x v="4"/>
    <x v="0"/>
    <x v="7"/>
    <x v="1"/>
    <x v="1"/>
    <x v="4"/>
    <x v="0"/>
    <x v="0"/>
    <x v="18"/>
    <n v="0"/>
    <x v="1"/>
    <x v="1"/>
    <n v="1650"/>
    <x v="1"/>
    <x v="13"/>
    <x v="12"/>
    <x v="0"/>
    <x v="1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BF1418-18AC-4857-B24C-92EC74602B6E}" name="PivotTable18"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A81:D84"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3">
    <i>
      <x v="111"/>
      <x v="61"/>
      <x/>
    </i>
    <i>
      <x v="112"/>
      <x v="37"/>
      <x v="1"/>
    </i>
    <i>
      <x v="113"/>
      <x v="34"/>
      <x/>
    </i>
  </rowItems>
  <colItems count="1">
    <i/>
  </colItems>
  <pageFields count="2">
    <pageField fld="0" hier="-1"/>
    <pageField fld="3" item="0"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4E4771-1A25-4737-91ED-11EE6A58498D}" name="PivotTable33"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D210:E212" firstHeaderRow="1" firstDataRow="1" firstDataCol="1" rowPageCount="1" colPageCount="1"/>
  <pivotFields count="33">
    <pivotField axis="axisPage" compact="0" outline="0" showAll="0" defaultSubtotal="0">
      <items count="2">
        <item x="0"/>
        <item x="1"/>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
        <item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6"/>
  </rowFields>
  <rowItems count="2">
    <i>
      <x/>
    </i>
    <i>
      <x v="1"/>
    </i>
  </rowItems>
  <colItems count="1">
    <i/>
  </colItems>
  <pageFields count="1">
    <pageField fld="0" hier="-1"/>
  </pageFields>
  <dataFields count="1">
    <dataField name="Count of Student 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19F315-9844-4F7D-A4FC-E7E8EA5801A2}" name="PivotTable20"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K81:N100"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19">
    <i>
      <x v="50"/>
      <x v="3"/>
      <x v="1"/>
    </i>
    <i>
      <x v="51"/>
      <x v="22"/>
      <x v="1"/>
    </i>
    <i>
      <x v="52"/>
      <x v="60"/>
      <x v="1"/>
    </i>
    <i>
      <x v="53"/>
      <x v="72"/>
      <x v="1"/>
    </i>
    <i>
      <x v="54"/>
      <x v="75"/>
      <x v="1"/>
    </i>
    <i>
      <x v="55"/>
      <x v="9"/>
      <x v="1"/>
    </i>
    <i>
      <x v="56"/>
      <x v="30"/>
      <x v="1"/>
    </i>
    <i>
      <x v="57"/>
      <x v="38"/>
      <x/>
    </i>
    <i>
      <x v="58"/>
      <x v="76"/>
      <x v="1"/>
    </i>
    <i>
      <x v="59"/>
      <x v="79"/>
      <x v="1"/>
    </i>
    <i>
      <x v="80"/>
      <x v="51"/>
      <x/>
    </i>
    <i>
      <x v="82"/>
      <x v="105"/>
      <x v="1"/>
    </i>
    <i>
      <x v="89"/>
      <x v="44"/>
      <x v="1"/>
    </i>
    <i>
      <x v="104"/>
      <x v="39"/>
      <x v="1"/>
    </i>
    <i>
      <x v="105"/>
      <x v="104"/>
      <x v="1"/>
    </i>
    <i>
      <x v="106"/>
      <x v="32"/>
      <x v="1"/>
    </i>
    <i>
      <x v="117"/>
      <x v="117"/>
      <x v="1"/>
    </i>
    <i>
      <x v="118"/>
      <x v="118"/>
      <x v="2"/>
    </i>
    <i>
      <x v="119"/>
      <x v="119"/>
      <x v="2"/>
    </i>
  </rowItems>
  <colItems count="1">
    <i/>
  </colItems>
  <pageFields count="2">
    <pageField fld="0" hier="-1"/>
    <pageField fld="3" item="2"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B6B8C7-97FA-4428-8BD3-54B4D05332A5}" name="PivotTable27"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F131:I135"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4">
    <i>
      <x v="9"/>
      <x v="62"/>
      <x v="1"/>
    </i>
    <i>
      <x v="10"/>
      <x v="31"/>
      <x v="1"/>
    </i>
    <i>
      <x v="76"/>
      <x v="64"/>
      <x/>
    </i>
    <i>
      <x v="121"/>
      <x v="121"/>
      <x v="2"/>
    </i>
  </rowItems>
  <colItems count="1">
    <i/>
  </colItems>
  <pageFields count="2">
    <pageField fld="0" hier="-1"/>
    <pageField fld="3" item="9"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7BBCD6-22F9-4450-ADBB-711B73C45074}" name="PivotTable1"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P131:S135"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4">
    <i>
      <x v="77"/>
      <x v="111"/>
      <x v="1"/>
    </i>
    <i>
      <x v="92"/>
      <x v="20"/>
      <x v="1"/>
    </i>
    <i>
      <x v="93"/>
      <x v="93"/>
      <x v="1"/>
    </i>
    <i>
      <x v="94"/>
      <x v="23"/>
      <x v="1"/>
    </i>
  </rowItems>
  <colItems count="1">
    <i/>
  </colItems>
  <pageFields count="2">
    <pageField fld="0" hier="-1"/>
    <pageField fld="3" item="11"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97B428-B85C-469E-BCF9-DDC3AD9536D9}" name="PivotTable28"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K131:N140"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9">
    <i>
      <x v="2"/>
      <x v="4"/>
      <x v="1"/>
    </i>
    <i>
      <x v="3"/>
      <x/>
      <x v="1"/>
    </i>
    <i>
      <x v="4"/>
      <x v="40"/>
      <x v="1"/>
    </i>
    <i>
      <x v="5"/>
      <x v="42"/>
      <x/>
    </i>
    <i>
      <x v="6"/>
      <x v="53"/>
      <x v="1"/>
    </i>
    <i>
      <x v="7"/>
      <x v="41"/>
      <x v="1"/>
    </i>
    <i>
      <x v="88"/>
      <x v="10"/>
      <x v="1"/>
    </i>
    <i>
      <x v="91"/>
      <x v="85"/>
      <x v="1"/>
    </i>
    <i>
      <x v="108"/>
      <x v="27"/>
      <x v="1"/>
    </i>
  </rowItems>
  <colItems count="1">
    <i/>
  </colItems>
  <pageFields count="2">
    <pageField fld="0" hier="-1"/>
    <pageField fld="3" item="10"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8BA8D5-A21D-4AB2-AD9F-742C67F8C268}" name="PivotTable17"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lass" fieldListSortAscending="1">
  <location ref="P59:T73" firstHeaderRow="0" firstDataRow="1" firstDataCol="1" rowPageCount="1" colPageCount="1"/>
  <pivotFields count="33">
    <pivotField axis="axisPage" showAll="0">
      <items count="3">
        <item x="0"/>
        <item x="1"/>
        <item t="default"/>
      </items>
    </pivotField>
    <pivotField showAll="0"/>
    <pivotField showAll="0"/>
    <pivotField axis="axisRow" showAll="0">
      <items count="14">
        <item x="6"/>
        <item x="5"/>
        <item x="7"/>
        <item x="0"/>
        <item x="1"/>
        <item x="2"/>
        <item x="3"/>
        <item x="8"/>
        <item x="9"/>
        <item x="10"/>
        <item x="11"/>
        <item x="4"/>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s>
  <rowFields count="1">
    <field x="3"/>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1">
    <pageField fld="0" hier="-1"/>
  </pageFields>
  <dataFields count="4">
    <dataField name="Sum of Paid_Annual" fld="16" baseField="0" baseItem="0"/>
    <dataField name="Sum of Paid_Monthly" fld="17" baseField="0" baseItem="0"/>
    <dataField name="Sum of Monthly_Annual Total" fld="32" baseField="0" baseItem="0"/>
    <dataField name="Sum of Annual And Monthly Pending" fld="23" baseField="0" baseItem="0"/>
  </dataFields>
  <formats count="2">
    <format dxfId="99">
      <pivotArea collapsedLevelsAreSubtotals="1" fieldPosition="0">
        <references count="1">
          <reference field="3" count="0"/>
        </references>
      </pivotArea>
    </format>
    <format dxfId="9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955BE2-93A5-409A-BCC0-F1606A1F6677}" name="PivotTable26"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A131:D141"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10">
    <i>
      <x v="11"/>
      <x v="58"/>
      <x v="1"/>
    </i>
    <i>
      <x v="12"/>
      <x v="19"/>
      <x v="1"/>
    </i>
    <i>
      <x v="13"/>
      <x v="70"/>
      <x v="1"/>
    </i>
    <i>
      <x v="14"/>
      <x v="102"/>
      <x v="1"/>
    </i>
    <i>
      <x v="15"/>
      <x v="5"/>
      <x v="1"/>
    </i>
    <i>
      <x v="16"/>
      <x v="67"/>
      <x v="1"/>
    </i>
    <i>
      <x v="17"/>
      <x v="71"/>
      <x v="1"/>
    </i>
    <i>
      <x v="18"/>
      <x v="77"/>
      <x v="1"/>
    </i>
    <i>
      <x v="19"/>
      <x v="86"/>
      <x/>
    </i>
    <i>
      <x v="78"/>
      <x v="96"/>
      <x/>
    </i>
  </rowItems>
  <colItems count="1">
    <i/>
  </colItems>
  <pageFields count="2">
    <pageField fld="0" hier="-1"/>
    <pageField fld="3" item="8"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2FEEDCD-01F6-4CAF-856B-377320A6498B}" name="PivotTable16"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lass" fieldListSortAscending="1">
  <location ref="K59:N73" firstHeaderRow="0" firstDataRow="1" firstDataCol="1" rowPageCount="1" colPageCount="1"/>
  <pivotFields count="33">
    <pivotField axis="axisPage" showAll="0">
      <items count="3">
        <item x="0"/>
        <item x="1"/>
        <item t="default"/>
      </items>
    </pivotField>
    <pivotField showAll="0"/>
    <pivotField showAll="0"/>
    <pivotField axis="axisRow" showAll="0">
      <items count="14">
        <item x="6"/>
        <item x="5"/>
        <item x="7"/>
        <item x="0"/>
        <item x="1"/>
        <item x="2"/>
        <item x="3"/>
        <item x="8"/>
        <item x="9"/>
        <item x="10"/>
        <item x="11"/>
        <item x="4"/>
        <item x="12"/>
        <item t="default"/>
      </items>
    </pivotField>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3"/>
  </rowFields>
  <rowItems count="14">
    <i>
      <x/>
    </i>
    <i>
      <x v="1"/>
    </i>
    <i>
      <x v="2"/>
    </i>
    <i>
      <x v="3"/>
    </i>
    <i>
      <x v="4"/>
    </i>
    <i>
      <x v="5"/>
    </i>
    <i>
      <x v="6"/>
    </i>
    <i>
      <x v="7"/>
    </i>
    <i>
      <x v="8"/>
    </i>
    <i>
      <x v="9"/>
    </i>
    <i>
      <x v="10"/>
    </i>
    <i>
      <x v="11"/>
    </i>
    <i>
      <x v="12"/>
    </i>
    <i t="grand">
      <x/>
    </i>
  </rowItems>
  <colFields count="1">
    <field x="-2"/>
  </colFields>
  <colItems count="3">
    <i>
      <x/>
    </i>
    <i i="1">
      <x v="1"/>
    </i>
    <i i="2">
      <x v="2"/>
    </i>
  </colItems>
  <pageFields count="1">
    <pageField fld="0" hier="-1"/>
  </pageFields>
  <dataFields count="3">
    <dataField name="Sum of Term 3" fld="11" baseField="0" baseItem="0"/>
    <dataField name="Sum of Paid_Term3" fld="15" baseField="0" baseItem="0"/>
    <dataField name="Sum of Term 3 Pending" fld="22" baseField="0" baseItem="0"/>
  </dataFields>
  <formats count="2">
    <format dxfId="101">
      <pivotArea collapsedLevelsAreSubtotals="1" fieldPosition="0">
        <references count="1">
          <reference field="3" count="0"/>
        </references>
      </pivotArea>
    </format>
    <format dxfId="10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401AA9-306D-474F-A3FE-4C8686D54011}" name="PivotTable10"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A3:H17" firstHeaderRow="0" firstDataRow="1" firstDataCol="1" rowPageCount="1" colPageCount="1"/>
  <pivotFields count="33">
    <pivotField axis="axisPage" showAll="0">
      <items count="3">
        <item x="0"/>
        <item x="1"/>
        <item t="default"/>
      </items>
    </pivotField>
    <pivotField showAll="0"/>
    <pivotField showAll="0"/>
    <pivotField axis="axisRow" dataField="1" showAll="0">
      <items count="14">
        <item x="6"/>
        <item x="5"/>
        <item x="7"/>
        <item x="0"/>
        <item x="1"/>
        <item x="2"/>
        <item x="3"/>
        <item x="8"/>
        <item x="9"/>
        <item x="10"/>
        <item x="11"/>
        <item x="4"/>
        <item x="12"/>
        <item t="default"/>
      </items>
    </pivotField>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ragToRow="0" dragToCol="0" dragToPage="0" showAll="0" defaultSubtotal="0"/>
  </pivotFields>
  <rowFields count="1">
    <field x="3"/>
  </rowFields>
  <rowItems count="14">
    <i>
      <x/>
    </i>
    <i>
      <x v="1"/>
    </i>
    <i>
      <x v="2"/>
    </i>
    <i>
      <x v="3"/>
    </i>
    <i>
      <x v="4"/>
    </i>
    <i>
      <x v="5"/>
    </i>
    <i>
      <x v="6"/>
    </i>
    <i>
      <x v="7"/>
    </i>
    <i>
      <x v="8"/>
    </i>
    <i>
      <x v="9"/>
    </i>
    <i>
      <x v="10"/>
    </i>
    <i>
      <x v="11"/>
    </i>
    <i>
      <x v="12"/>
    </i>
    <i t="grand">
      <x/>
    </i>
  </rowItems>
  <colFields count="1">
    <field x="-2"/>
  </colFields>
  <colItems count="7">
    <i>
      <x/>
    </i>
    <i i="1">
      <x v="1"/>
    </i>
    <i i="2">
      <x v="2"/>
    </i>
    <i i="3">
      <x v="3"/>
    </i>
    <i i="4">
      <x v="4"/>
    </i>
    <i i="5">
      <x v="5"/>
    </i>
    <i i="6">
      <x v="6"/>
    </i>
  </colItems>
  <pageFields count="1">
    <pageField fld="0" hier="-1"/>
  </pageFields>
  <dataFields count="7">
    <dataField name=" Annual_Fee_Amount" fld="8" baseField="0" baseItem="0" numFmtId="165"/>
    <dataField name="Missing_Fees" fld="18" baseField="0" baseItem="0" numFmtId="165"/>
    <dataField name=" Discounted_Fee" fld="19" baseField="0" baseItem="0" numFmtId="165"/>
    <dataField name="Amount_Reduced" fld="12" baseField="0" baseItem="0" numFmtId="165"/>
    <dataField name="Paid_Fees" fld="30" baseField="0" baseItem="0" numFmtId="165"/>
    <dataField name=" Pending_Fees" fld="31" baseField="0" baseItem="0" numFmtId="165"/>
    <dataField name="Count of Old Class" fld="3" subtotal="count" baseField="0" baseItem="0"/>
  </dataFields>
  <formats count="1">
    <format dxfId="102">
      <pivotArea outline="0" collapsedLevelsAreSubtotals="1" fieldPosition="0">
        <references count="1">
          <reference field="4294967294" count="6" selected="0">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9FD7E8B-34CC-4380-96C7-6292877E7A1E}" name="PivotTable22"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A108:D118"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sortType="ascending" defaultSubtotal="0">
      <items count="122">
        <item x="110"/>
        <item x="50"/>
        <item x="51"/>
        <item x="106"/>
        <item x="88"/>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77"/>
        <item x="91"/>
        <item x="5"/>
        <item x="6"/>
        <item x="92"/>
        <item x="27"/>
        <item x="78"/>
        <item x="55"/>
        <item x="117"/>
        <item x="28"/>
        <item x="7"/>
        <item x="8"/>
        <item x="19"/>
        <item x="98"/>
        <item x="56"/>
        <item x="79"/>
        <item x="68"/>
        <item x="108"/>
        <item x="40"/>
        <item x="109"/>
        <item x="29"/>
        <item x="9"/>
        <item x="41"/>
        <item x="99"/>
        <item x="57"/>
        <item x="58"/>
        <item x="10"/>
        <item x="100"/>
        <item x="101"/>
        <item x="80"/>
        <item x="11"/>
        <item x="59"/>
        <item x="81"/>
        <item x="82"/>
        <item x="102"/>
        <item x="93"/>
        <item x="83"/>
        <item x="30"/>
        <item x="94"/>
        <item x="60"/>
        <item x="20"/>
        <item x="61"/>
        <item x="12"/>
        <item x="118"/>
        <item x="103"/>
        <item x="31"/>
        <item x="13"/>
        <item x="120"/>
        <item x="32"/>
        <item x="42"/>
        <item x="62"/>
        <item x="48"/>
        <item x="33"/>
        <item x="43"/>
        <item x="104"/>
        <item x="63"/>
        <item x="14"/>
        <item x="21"/>
        <item x="34"/>
        <item x="44"/>
        <item x="105"/>
        <item x="84"/>
        <item x="22"/>
        <item x="85"/>
        <item x="86"/>
        <item x="87"/>
        <item x="23"/>
        <item x="45"/>
        <item x="24"/>
        <item x="64"/>
        <item x="95"/>
        <item x="49"/>
        <item m="1" x="121"/>
        <item x="65"/>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10">
    <i>
      <x v="44"/>
      <x v="18"/>
      <x v="1"/>
    </i>
    <i>
      <x v="45"/>
      <x v="47"/>
      <x v="1"/>
    </i>
    <i>
      <x v="46"/>
      <x v="88"/>
      <x/>
    </i>
    <i>
      <x v="47"/>
      <x v="105"/>
      <x v="1"/>
    </i>
    <i>
      <x v="48"/>
      <x v="110"/>
      <x/>
    </i>
    <i>
      <x v="49"/>
      <x v="20"/>
      <x v="1"/>
    </i>
    <i>
      <x v="79"/>
      <x v="116"/>
      <x v="1"/>
    </i>
    <i>
      <x v="83"/>
      <x v="114"/>
      <x v="1"/>
    </i>
    <i>
      <x v="86"/>
      <x v="27"/>
      <x v="1"/>
    </i>
    <i>
      <x v="87"/>
      <x v="60"/>
      <x v="1"/>
    </i>
  </rowItems>
  <colItems count="1">
    <i/>
  </colItems>
  <pageFields count="2">
    <pageField fld="0" hier="-1"/>
    <pageField fld="3" item="4"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DAF641B-3BC3-4D49-BF51-461775A1D759}" name="PivotTable21"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P81:S96"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15">
    <i>
      <x v="60"/>
      <x v="98"/>
      <x v="1"/>
    </i>
    <i>
      <x v="81"/>
      <x v="88"/>
      <x v="1"/>
    </i>
    <i>
      <x v="84"/>
      <x v="28"/>
      <x/>
    </i>
    <i>
      <x v="95"/>
      <x v="36"/>
      <x v="1"/>
    </i>
    <i>
      <x v="96"/>
      <x v="55"/>
      <x v="1"/>
    </i>
    <i>
      <x v="97"/>
      <x v="69"/>
      <x v="1"/>
    </i>
    <i>
      <x v="98"/>
      <x v="73"/>
      <x v="1"/>
    </i>
    <i>
      <x v="99"/>
      <x v="21"/>
      <x v="1"/>
    </i>
    <i>
      <x v="100"/>
      <x v="33"/>
      <x v="1"/>
    </i>
    <i>
      <x v="101"/>
      <x v="48"/>
      <x v="1"/>
    </i>
    <i>
      <x v="102"/>
      <x v="47"/>
      <x v="1"/>
    </i>
    <i>
      <x v="103"/>
      <x v="65"/>
      <x v="1"/>
    </i>
    <i>
      <x v="109"/>
      <x v="56"/>
      <x v="1"/>
    </i>
    <i>
      <x v="110"/>
      <x v="15"/>
      <x/>
    </i>
    <i>
      <x v="114"/>
      <x v="114"/>
      <x v="2"/>
    </i>
  </rowItems>
  <colItems count="1">
    <i/>
  </colItems>
  <pageFields count="2">
    <pageField fld="0" hier="-1"/>
    <pageField fld="3" item="3"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D4AA330-79BA-4AEA-AD74-31159D236CE8}" name="PivotTable2"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A154:D156"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2">
    <i>
      <x/>
      <x v="26"/>
      <x v="1"/>
    </i>
    <i>
      <x v="1"/>
      <x v="89"/>
      <x v="1"/>
    </i>
  </rowItems>
  <colItems count="1">
    <i/>
  </colItems>
  <pageFields count="2">
    <pageField fld="0" hier="-1"/>
    <pageField fld="3" item="12"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2D386E9-328C-427F-85B1-55B32F5350A7}" name="PivotTable1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A23:H26" firstHeaderRow="0" firstDataRow="1" firstDataCol="1"/>
  <pivotFields count="33">
    <pivotField axis="axisRow" showAll="0">
      <items count="3">
        <item x="0"/>
        <item x="1"/>
        <item t="default"/>
      </items>
    </pivotField>
    <pivotField showAll="0"/>
    <pivotField showAll="0"/>
    <pivotField dataField="1"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ragToRow="0" dragToCol="0" dragToPage="0" showAll="0" defaultSubtotal="0"/>
  </pivotFields>
  <rowFields count="1">
    <field x="0"/>
  </rowFields>
  <rowItems count="3">
    <i>
      <x/>
    </i>
    <i>
      <x v="1"/>
    </i>
    <i t="grand">
      <x/>
    </i>
  </rowItems>
  <colFields count="1">
    <field x="-2"/>
  </colFields>
  <colItems count="7">
    <i>
      <x/>
    </i>
    <i i="1">
      <x v="1"/>
    </i>
    <i i="2">
      <x v="2"/>
    </i>
    <i i="3">
      <x v="3"/>
    </i>
    <i i="4">
      <x v="4"/>
    </i>
    <i i="5">
      <x v="5"/>
    </i>
    <i i="6">
      <x v="6"/>
    </i>
  </colItems>
  <dataFields count="7">
    <dataField name=" Annual_Fee_Amount" fld="8" baseField="0" baseItem="0" numFmtId="165"/>
    <dataField name="Missing_Fees" fld="18" baseField="0" baseItem="0" numFmtId="165"/>
    <dataField name=" Discounted_Fee" fld="19" baseField="0" baseItem="0" numFmtId="165"/>
    <dataField name="Amount_Reduced" fld="12" baseField="0" baseItem="0" numFmtId="165"/>
    <dataField name="Paid_Fees" fld="30" baseField="0" baseItem="0" numFmtId="165"/>
    <dataField name=" Pending_Fees" fld="31" baseField="0" baseItem="0" numFmtId="165"/>
    <dataField name="Count of Old Class" fld="3" subtotal="count" baseField="0" baseItem="0"/>
  </dataFields>
  <formats count="1">
    <format dxfId="103">
      <pivotArea outline="0" collapsedLevelsAreSubtotals="1" fieldPosition="0">
        <references count="1">
          <reference field="4294967294" count="6" selected="0">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A924ACB-3183-4AE1-B843-AF1C78FD10AE}" name="PivotTable24"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K108:N119"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11">
    <i>
      <x v="26"/>
      <x v="12"/>
      <x v="1"/>
    </i>
    <i>
      <x v="27"/>
      <x v="13"/>
      <x v="1"/>
    </i>
    <i>
      <x v="28"/>
      <x v="43"/>
      <x v="1"/>
    </i>
    <i>
      <x v="29"/>
      <x v="8"/>
      <x v="1"/>
    </i>
    <i>
      <x v="30"/>
      <x v="63"/>
      <x v="1"/>
    </i>
    <i>
      <x v="31"/>
      <x v="66"/>
      <x v="1"/>
    </i>
    <i>
      <x v="32"/>
      <x v="95"/>
      <x v="1"/>
    </i>
    <i>
      <x v="33"/>
      <x v="6"/>
      <x v="1"/>
    </i>
    <i>
      <x v="34"/>
      <x v="91"/>
      <x v="1"/>
    </i>
    <i>
      <x v="35"/>
      <x v="107"/>
      <x v="1"/>
    </i>
    <i>
      <x v="85"/>
      <x v="101"/>
      <x/>
    </i>
  </rowItems>
  <colItems count="1">
    <i/>
  </colItems>
  <pageFields count="2">
    <pageField fld="0" hier="-1"/>
    <pageField fld="3" item="6"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75ADE29-84AA-464C-8135-111C4E5C4E92}" name="PivotTable25"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P108:S116"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8">
    <i>
      <x v="8"/>
      <x v="81"/>
      <x v="1"/>
    </i>
    <i>
      <x v="20"/>
      <x v="49"/>
      <x v="1"/>
    </i>
    <i>
      <x v="21"/>
      <x v="110"/>
      <x v="1"/>
    </i>
    <i>
      <x v="22"/>
      <x v="14"/>
      <x v="1"/>
    </i>
    <i>
      <x v="23"/>
      <x v="35"/>
      <x v="1"/>
    </i>
    <i>
      <x v="24"/>
      <x v="46"/>
      <x/>
    </i>
    <i>
      <x v="25"/>
      <x v="78"/>
      <x v="1"/>
    </i>
    <i>
      <x v="120"/>
      <x v="120"/>
      <x v="2"/>
    </i>
  </rowItems>
  <colItems count="1">
    <i/>
  </colItems>
  <pageFields count="2">
    <pageField fld="0" hier="-1"/>
    <pageField fld="3" item="7"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7E59DDA-453E-4FED-B8AB-376D97ECB94C}" name="PivotTable19"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F81:I97"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16">
    <i>
      <x v="61"/>
      <x v="2"/>
      <x/>
    </i>
    <i>
      <x v="62"/>
      <x v="7"/>
      <x v="1"/>
    </i>
    <i>
      <x v="63"/>
      <x v="52"/>
      <x v="1"/>
    </i>
    <i>
      <x v="64"/>
      <x v="59"/>
      <x v="1"/>
    </i>
    <i>
      <x v="65"/>
      <x v="68"/>
      <x/>
    </i>
    <i>
      <x v="66"/>
      <x v="74"/>
      <x v="1"/>
    </i>
    <i>
      <x v="68"/>
      <x v="113"/>
      <x v="1"/>
    </i>
    <i>
      <x v="69"/>
      <x v="1"/>
      <x v="1"/>
    </i>
    <i>
      <x v="70"/>
      <x v="17"/>
      <x v="1"/>
    </i>
    <i>
      <x v="71"/>
      <x v="29"/>
      <x/>
    </i>
    <i>
      <x v="72"/>
      <x v="82"/>
      <x/>
    </i>
    <i>
      <x v="73"/>
      <x v="92"/>
      <x v="1"/>
    </i>
    <i>
      <x v="74"/>
      <x v="97"/>
      <x v="1"/>
    </i>
    <i>
      <x v="75"/>
      <x v="109"/>
      <x v="1"/>
    </i>
    <i>
      <x v="90"/>
      <x v="84"/>
      <x v="1"/>
    </i>
    <i>
      <x v="116"/>
      <x v="116"/>
      <x v="1"/>
    </i>
  </rowItems>
  <colItems count="1">
    <i/>
  </colItems>
  <pageFields count="2">
    <pageField fld="0" hier="-1"/>
    <pageField fld="3" item="1"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E19E1E9-A9BB-4896-920C-2BC1D5269FD3}" name="PivotTable1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lass" fieldListSortAscending="1">
  <location ref="I209:J247" firstHeaderRow="1" firstDataRow="1" firstDataCol="1" rowPageCount="1" colPageCount="1"/>
  <pivotFields count="33">
    <pivotField axis="axisPage" showAll="0">
      <items count="3">
        <item x="0"/>
        <item x="1"/>
        <item t="default"/>
      </items>
    </pivotField>
    <pivotField showAll="0"/>
    <pivotField showAll="0"/>
    <pivotField axis="axisRow" showAll="0">
      <items count="14">
        <item x="6"/>
        <item x="5"/>
        <item x="7"/>
        <item x="0"/>
        <item x="1"/>
        <item x="2"/>
        <item x="3"/>
        <item x="8"/>
        <item x="9"/>
        <item x="10"/>
        <item x="11"/>
        <item x="4"/>
        <item x="12"/>
        <item t="default"/>
      </items>
    </pivotField>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2">
    <field x="3"/>
    <field x="4"/>
  </rowFields>
  <rowItems count="38">
    <i>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x v="12"/>
    </i>
    <i r="1">
      <x/>
    </i>
    <i t="grand">
      <x/>
    </i>
  </rowItems>
  <colItems count="1">
    <i/>
  </colItems>
  <pageFields count="1">
    <pageField fld="0" hier="-1"/>
  </pageFields>
  <dataFields count="1">
    <dataField name="Count of Gender"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F29064C-96D2-4DC0-ACE2-BFB675E0B741}" name="PivotTable29"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F154:J170" firstHeaderRow="1" firstDataRow="1" firstDataCol="4"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Row" compact="0" outline="0" showAll="0" defaultSubtotal="0">
      <items count="13">
        <item x="5"/>
        <item x="7"/>
        <item x="0"/>
        <item x="1"/>
        <item x="2"/>
        <item x="3"/>
        <item x="8"/>
        <item x="9"/>
        <item x="10"/>
        <item x="11"/>
        <item x="4"/>
        <item x="12"/>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axis="axisPage" compact="0" outline="0" showAll="0" defaultSubtotal="0">
      <items count="14">
        <item x="6"/>
        <item x="8"/>
        <item x="0"/>
        <item x="2"/>
        <item x="3"/>
        <item x="4"/>
        <item x="9"/>
        <item x="10"/>
        <item x="11"/>
        <item x="12"/>
        <item x="5"/>
        <item x="13"/>
        <item x="1"/>
        <item x="7"/>
      </items>
    </pivotField>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4">
    <field x="1"/>
    <field x="2"/>
    <field x="24"/>
    <field x="3"/>
  </rowFields>
  <rowItems count="16">
    <i>
      <x v="61"/>
      <x v="2"/>
      <x/>
      <x/>
    </i>
    <i>
      <x v="62"/>
      <x v="7"/>
      <x v="1"/>
      <x/>
    </i>
    <i>
      <x v="63"/>
      <x v="52"/>
      <x v="1"/>
      <x/>
    </i>
    <i>
      <x v="64"/>
      <x v="59"/>
      <x v="1"/>
      <x/>
    </i>
    <i>
      <x v="65"/>
      <x v="68"/>
      <x/>
      <x/>
    </i>
    <i>
      <x v="66"/>
      <x v="74"/>
      <x v="1"/>
      <x/>
    </i>
    <i>
      <x v="68"/>
      <x v="113"/>
      <x v="1"/>
      <x/>
    </i>
    <i>
      <x v="69"/>
      <x v="1"/>
      <x v="1"/>
      <x/>
    </i>
    <i>
      <x v="70"/>
      <x v="17"/>
      <x v="1"/>
      <x/>
    </i>
    <i>
      <x v="71"/>
      <x v="29"/>
      <x/>
      <x/>
    </i>
    <i>
      <x v="72"/>
      <x v="82"/>
      <x/>
      <x/>
    </i>
    <i>
      <x v="73"/>
      <x v="92"/>
      <x v="1"/>
      <x/>
    </i>
    <i>
      <x v="74"/>
      <x v="97"/>
      <x v="1"/>
      <x/>
    </i>
    <i>
      <x v="75"/>
      <x v="109"/>
      <x v="1"/>
      <x/>
    </i>
    <i>
      <x v="90"/>
      <x v="84"/>
      <x v="1"/>
      <x/>
    </i>
    <i>
      <x v="116"/>
      <x v="116"/>
      <x v="1"/>
      <x/>
    </i>
  </rowItems>
  <colItems count="1">
    <i/>
  </colItems>
  <pageFields count="2">
    <pageField fld="0" hier="-1"/>
    <pageField fld="25" item="0"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38D93AE3-1A25-4E9D-83A4-C183189E2733}" name="PivotTable13"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lass" fieldListSortAscending="1">
  <location ref="A59:D73" firstHeaderRow="0" firstDataRow="1" firstDataCol="1" rowPageCount="1" colPageCount="1"/>
  <pivotFields count="33">
    <pivotField axis="axisPage" showAll="0">
      <items count="3">
        <item x="0"/>
        <item x="1"/>
        <item t="default"/>
      </items>
    </pivotField>
    <pivotField showAll="0"/>
    <pivotField showAll="0"/>
    <pivotField axis="axisRow" showAll="0">
      <items count="14">
        <item x="6"/>
        <item x="5"/>
        <item x="7"/>
        <item x="0"/>
        <item x="1"/>
        <item x="2"/>
        <item x="3"/>
        <item x="8"/>
        <item x="9"/>
        <item x="10"/>
        <item x="11"/>
        <item x="4"/>
        <item x="12"/>
        <item t="default"/>
      </items>
    </pivotField>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3"/>
  </rowFields>
  <rowItems count="14">
    <i>
      <x/>
    </i>
    <i>
      <x v="1"/>
    </i>
    <i>
      <x v="2"/>
    </i>
    <i>
      <x v="3"/>
    </i>
    <i>
      <x v="4"/>
    </i>
    <i>
      <x v="5"/>
    </i>
    <i>
      <x v="6"/>
    </i>
    <i>
      <x v="7"/>
    </i>
    <i>
      <x v="8"/>
    </i>
    <i>
      <x v="9"/>
    </i>
    <i>
      <x v="10"/>
    </i>
    <i>
      <x v="11"/>
    </i>
    <i>
      <x v="12"/>
    </i>
    <i t="grand">
      <x/>
    </i>
  </rowItems>
  <colFields count="1">
    <field x="-2"/>
  </colFields>
  <colItems count="3">
    <i>
      <x/>
    </i>
    <i i="1">
      <x v="1"/>
    </i>
    <i i="2">
      <x v="2"/>
    </i>
  </colItems>
  <pageFields count="1">
    <pageField fld="0" hier="-1"/>
  </pageFields>
  <dataFields count="3">
    <dataField name="Sum of Term 1" fld="9" baseField="0" baseItem="0"/>
    <dataField name="Sum of Paid_Term1" fld="13" baseField="0" baseItem="0"/>
    <dataField name="Sum of Term 1 Pending" fld="20" baseField="0" baseItem="0"/>
  </dataFields>
  <formats count="2">
    <format dxfId="105">
      <pivotArea collapsedLevelsAreSubtotals="1" fieldPosition="0">
        <references count="1">
          <reference field="3" count="0"/>
        </references>
      </pivotArea>
    </format>
    <format dxfId="104">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F697D75-63C8-4ABA-AF68-D81B600EADAE}" name="PivotTable34"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F210:G213" firstHeaderRow="1" firstDataRow="1" firstDataCol="1" rowPageCount="1" colPageCount="1"/>
  <pivotFields count="33">
    <pivotField axis="axisPage" compact="0" outline="0" showAll="0" defaultSubtotal="0">
      <items count="2">
        <item x="0"/>
        <item x="1"/>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1"/>
        <item x="2"/>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7"/>
  </rowFields>
  <rowItems count="3">
    <i>
      <x/>
    </i>
    <i>
      <x v="1"/>
    </i>
    <i>
      <x v="2"/>
    </i>
  </rowItems>
  <colItems count="1">
    <i/>
  </colItems>
  <pageFields count="1">
    <pageField fld="0" hier="-1"/>
  </pageFields>
  <dataFields count="1">
    <dataField name="Count of Student 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8ACFAD5-D555-4444-A986-6783C5D090F8}" name="PivotTable30"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A209:B256" firstHeaderRow="1" firstDataRow="1" firstDataCol="1" rowPageCount="1" colPageCount="1"/>
  <pivotFields count="33">
    <pivotField axis="axisPage" compact="0" outline="0" showAll="0" defaultSubtotal="0">
      <items count="2">
        <item x="0"/>
        <item x="1"/>
      </items>
    </pivotField>
    <pivotField dataField="1"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7">
        <item x="28"/>
        <item x="13"/>
        <item x="17"/>
        <item x="39"/>
        <item x="4"/>
        <item x="45"/>
        <item x="23"/>
        <item x="15"/>
        <item x="37"/>
        <item x="16"/>
        <item x="2"/>
        <item x="0"/>
        <item x="6"/>
        <item x="11"/>
        <item x="25"/>
        <item x="9"/>
        <item x="19"/>
        <item x="40"/>
        <item x="34"/>
        <item x="29"/>
        <item x="20"/>
        <item x="10"/>
        <item x="3"/>
        <item x="33"/>
        <item x="43"/>
        <item x="27"/>
        <item x="1"/>
        <item x="38"/>
        <item x="18"/>
        <item x="42"/>
        <item x="30"/>
        <item x="5"/>
        <item x="44"/>
        <item x="24"/>
        <item x="46"/>
        <item x="8"/>
        <item x="14"/>
        <item x="41"/>
        <item x="36"/>
        <item x="12"/>
        <item x="7"/>
        <item x="21"/>
        <item x="22"/>
        <item x="26"/>
        <item x="31"/>
        <item x="32"/>
        <item x="3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5"/>
  </rowFields>
  <row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rowItems>
  <colItems count="1">
    <i/>
  </colItems>
  <pageFields count="1">
    <pageField fld="0" hier="-1"/>
  </pageFields>
  <dataFields count="1">
    <dataField name="Count of Student 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9EACC12-E373-4CE6-8BDC-13EB2DD39288}" name="PivotTable23"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Class" fieldListSortAscending="1">
  <location ref="F108:I118" firstHeaderRow="1"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6"/>
        <item x="5"/>
        <item x="7"/>
        <item x="0"/>
        <item x="1"/>
        <item x="2"/>
        <item x="3"/>
        <item x="8"/>
        <item x="9"/>
        <item x="10"/>
        <item x="11"/>
        <item x="4"/>
        <item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1"/>
    <field x="2"/>
    <field x="24"/>
  </rowFields>
  <rowItems count="10">
    <i>
      <x v="36"/>
      <x v="24"/>
      <x v="1"/>
    </i>
    <i>
      <x v="37"/>
      <x v="11"/>
      <x v="1"/>
    </i>
    <i>
      <x v="38"/>
      <x v="54"/>
      <x v="1"/>
    </i>
    <i>
      <x v="39"/>
      <x v="100"/>
      <x v="1"/>
    </i>
    <i>
      <x v="40"/>
      <x v="50"/>
      <x v="1"/>
    </i>
    <i>
      <x v="41"/>
      <x v="90"/>
      <x v="1"/>
    </i>
    <i>
      <x v="42"/>
      <x v="80"/>
      <x/>
    </i>
    <i>
      <x v="43"/>
      <x v="87"/>
      <x/>
    </i>
    <i>
      <x v="107"/>
      <x v="94"/>
      <x v="1"/>
    </i>
    <i>
      <x v="115"/>
      <x v="115"/>
      <x v="1"/>
    </i>
  </rowItems>
  <colItems count="1">
    <i/>
  </colItems>
  <pageFields count="2">
    <pageField fld="0" hier="-1"/>
    <pageField fld="3" item="5" hier="-1"/>
  </pageFields>
  <dataFields count="1">
    <dataField name="Sum of Paid Fees"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6688D1C-5D3C-49F7-AD80-15B706B49253}" name="PivotTable15"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lass" fieldListSortAscending="1">
  <location ref="F59:I73" firstHeaderRow="0" firstDataRow="1" firstDataCol="1" rowPageCount="1" colPageCount="1"/>
  <pivotFields count="33">
    <pivotField axis="axisPage" showAll="0">
      <items count="3">
        <item x="0"/>
        <item x="1"/>
        <item t="default"/>
      </items>
    </pivotField>
    <pivotField showAll="0"/>
    <pivotField showAll="0"/>
    <pivotField axis="axisRow" showAll="0">
      <items count="14">
        <item x="6"/>
        <item x="5"/>
        <item x="7"/>
        <item x="0"/>
        <item x="1"/>
        <item x="2"/>
        <item x="3"/>
        <item x="8"/>
        <item x="9"/>
        <item x="10"/>
        <item x="11"/>
        <item x="4"/>
        <item x="12"/>
        <item t="default"/>
      </items>
    </pivotField>
    <pivotField showAll="0"/>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3"/>
  </rowFields>
  <rowItems count="14">
    <i>
      <x/>
    </i>
    <i>
      <x v="1"/>
    </i>
    <i>
      <x v="2"/>
    </i>
    <i>
      <x v="3"/>
    </i>
    <i>
      <x v="4"/>
    </i>
    <i>
      <x v="5"/>
    </i>
    <i>
      <x v="6"/>
    </i>
    <i>
      <x v="7"/>
    </i>
    <i>
      <x v="8"/>
    </i>
    <i>
      <x v="9"/>
    </i>
    <i>
      <x v="10"/>
    </i>
    <i>
      <x v="11"/>
    </i>
    <i>
      <x v="12"/>
    </i>
    <i t="grand">
      <x/>
    </i>
  </rowItems>
  <colFields count="1">
    <field x="-2"/>
  </colFields>
  <colItems count="3">
    <i>
      <x/>
    </i>
    <i i="1">
      <x v="1"/>
    </i>
    <i i="2">
      <x v="2"/>
    </i>
  </colItems>
  <pageFields count="1">
    <pageField fld="0" hier="-1"/>
  </pageFields>
  <dataFields count="3">
    <dataField name="Sum of Term 2" fld="10" baseField="0" baseItem="0"/>
    <dataField name="Sum of Paid_Term2" fld="14" baseField="0" baseItem="0"/>
    <dataField name="Sum of Term 2 Pending" fld="21" baseField="0" baseItem="0"/>
  </dataFields>
  <formats count="2">
    <format dxfId="107">
      <pivotArea collapsedLevelsAreSubtotals="1" fieldPosition="0">
        <references count="1">
          <reference field="3" count="0"/>
        </references>
      </pivotArea>
    </format>
    <format dxfId="106">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992AC82-2CFC-4A8C-987E-F3F7C9EC6520}" name="PivotTable4" cacheId="6" applyNumberFormats="0" applyBorderFormats="0" applyFontFormats="0" applyPatternFormats="0" applyAlignmentFormats="0" applyWidthHeightFormats="1" dataCaption="Values" updatedVersion="6" minRefreshableVersion="3" showDrill="0" useAutoFormatting="1" itemPrintTitles="1" createdVersion="6" indent="0" compact="0" compactData="0" multipleFieldFilters="0" fieldListSortAscending="1">
  <location ref="A117:R134" firstHeaderRow="0" firstDataRow="1" firstDataCol="3" rowPageCount="1"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sortType="ascending" defaultSubtotal="0">
      <items count="122">
        <item h="1" x="110"/>
        <item h="1" x="50"/>
        <item h="1" x="51"/>
        <item h="1" x="106"/>
        <item h="1" x="88"/>
        <item h="1" x="69"/>
        <item h="1" x="111"/>
        <item h="1" x="96"/>
        <item h="1" x="35"/>
        <item x="52"/>
        <item h="1" x="36"/>
        <item h="1" x="70"/>
        <item h="1" x="112"/>
        <item x="25"/>
        <item h="1" x="37"/>
        <item h="1" x="38"/>
        <item h="1" x="89"/>
        <item h="1" x="0"/>
        <item h="1" x="15"/>
        <item h="1" x="53"/>
        <item h="1" x="16"/>
        <item h="1" x="97"/>
        <item h="1" x="46"/>
        <item h="1" x="1"/>
        <item h="1" x="71"/>
        <item h="1" x="47"/>
        <item h="1" x="26"/>
        <item h="1" x="17"/>
        <item h="1" x="119"/>
        <item h="1" x="113"/>
        <item h="1" x="2"/>
        <item h="1" x="54"/>
        <item h="1" x="72"/>
        <item h="1" x="107"/>
        <item h="1" x="73"/>
        <item x="3"/>
        <item h="1" x="66"/>
        <item h="1" x="90"/>
        <item x="4"/>
        <item h="1" x="67"/>
        <item h="1" x="74"/>
        <item h="1" x="75"/>
        <item h="1" x="114"/>
        <item h="1" x="115"/>
        <item h="1" x="116"/>
        <item x="39"/>
        <item h="1" x="76"/>
        <item h="1" x="18"/>
        <item h="1" x="77"/>
        <item h="1" x="91"/>
        <item h="1" x="5"/>
        <item x="6"/>
        <item h="1" x="92"/>
        <item h="1" x="27"/>
        <item h="1" x="78"/>
        <item x="55"/>
        <item x="117"/>
        <item x="28"/>
        <item h="1" x="7"/>
        <item h="1" x="8"/>
        <item h="1" x="19"/>
        <item x="98"/>
        <item h="1" x="56"/>
        <item h="1" x="79"/>
        <item h="1" x="68"/>
        <item h="1" x="108"/>
        <item h="1" x="40"/>
        <item h="1" x="109"/>
        <item h="1" x="29"/>
        <item h="1" x="9"/>
        <item h="1" x="41"/>
        <item h="1" x="99"/>
        <item h="1" x="57"/>
        <item h="1" x="58"/>
        <item h="1" x="10"/>
        <item h="1" x="100"/>
        <item h="1" x="101"/>
        <item x="80"/>
        <item h="1" x="11"/>
        <item x="59"/>
        <item x="81"/>
        <item h="1" x="82"/>
        <item h="1" x="102"/>
        <item h="1" x="93"/>
        <item h="1" x="83"/>
        <item h="1" x="30"/>
        <item h="1" x="94"/>
        <item h="1" x="60"/>
        <item h="1" x="20"/>
        <item x="61"/>
        <item h="1" x="12"/>
        <item h="1" x="118"/>
        <item h="1" x="103"/>
        <item h="1" x="31"/>
        <item h="1" x="13"/>
        <item h="1" x="120"/>
        <item h="1" x="32"/>
        <item h="1" x="42"/>
        <item h="1" x="62"/>
        <item h="1" x="48"/>
        <item h="1" x="33"/>
        <item h="1" x="43"/>
        <item h="1" x="104"/>
        <item x="63"/>
        <item h="1" x="14"/>
        <item h="1" x="21"/>
        <item h="1" x="34"/>
        <item h="1" x="44"/>
        <item h="1" x="105"/>
        <item h="1" x="84"/>
        <item h="1" x="22"/>
        <item x="85"/>
        <item h="1" x="86"/>
        <item h="1" x="87"/>
        <item h="1" x="23"/>
        <item h="1" x="45"/>
        <item h="1" x="24"/>
        <item h="1" x="64"/>
        <item h="1" x="95"/>
        <item h="1" x="49"/>
        <item h="1" m="1" x="121"/>
        <item h="1" x="65"/>
      </items>
    </pivotField>
    <pivotField axis="axisRow" compact="0" outline="0" showAll="0" sortType="ascending" defaultSubtotal="0">
      <items count="13">
        <item x="5"/>
        <item x="7"/>
        <item x="0"/>
        <item x="1"/>
        <item x="2"/>
        <item x="3"/>
        <item x="8"/>
        <item x="9"/>
        <item x="10"/>
        <item x="11"/>
        <item x="4"/>
        <item x="12"/>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dataField="1" compact="0" outline="0" dragToRow="0" dragToCol="0" dragToPage="0" showAll="0" defaultSubtotal="0"/>
  </pivotFields>
  <rowFields count="3">
    <field x="1"/>
    <field x="2"/>
    <field x="3"/>
  </rowFields>
  <rowItems count="17">
    <i>
      <x v="6"/>
      <x v="56"/>
      <x v="9"/>
    </i>
    <i>
      <x v="11"/>
      <x v="61"/>
      <x v="7"/>
    </i>
    <i>
      <x v="28"/>
      <x v="45"/>
      <x v="5"/>
    </i>
    <i>
      <x v="37"/>
      <x v="13"/>
      <x v="4"/>
    </i>
    <i>
      <x v="38"/>
      <x v="57"/>
      <x v="4"/>
    </i>
    <i>
      <x v="53"/>
      <x v="77"/>
      <x v="1"/>
    </i>
    <i>
      <x v="54"/>
      <x v="80"/>
      <x v="1"/>
    </i>
    <i>
      <x v="62"/>
      <x v="9"/>
      <x/>
    </i>
    <i>
      <x v="63"/>
      <x v="55"/>
      <x/>
    </i>
    <i>
      <x v="66"/>
      <x v="79"/>
      <x/>
    </i>
    <i>
      <x v="74"/>
      <x v="103"/>
      <x/>
    </i>
    <i>
      <x v="90"/>
      <x v="89"/>
      <x/>
    </i>
    <i>
      <x v="95"/>
      <x v="38"/>
      <x v="2"/>
    </i>
    <i>
      <x v="100"/>
      <x v="35"/>
      <x v="2"/>
    </i>
    <i>
      <x v="101"/>
      <x v="51"/>
      <x v="2"/>
    </i>
    <i>
      <x v="105"/>
      <x v="111"/>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1">
    <pageField fld="0" item="0" hier="-1"/>
  </pageFields>
  <dataFields count="15">
    <dataField name="Sum of Fee Amount" fld="26" baseField="0" baseItem="0"/>
    <dataField name="Sum of Discounted Fee" fld="19" baseField="0" baseItem="0"/>
    <dataField name="Sum of Paid Fees" fld="30" baseField="0" baseItem="0"/>
    <dataField name="Sum of Amount Reduced" fld="12" baseField="0" baseItem="0"/>
    <dataField name="Sum of Term 1" fld="9" baseField="0" baseItem="0"/>
    <dataField name="Sum of Paid_Term1" fld="13" baseField="0" baseItem="0"/>
    <dataField name="Sum of Term 1 Pending" fld="20" baseField="0" baseItem="0"/>
    <dataField name="Sum of Term 2" fld="10" baseField="0" baseItem="0"/>
    <dataField name="Sum of Term 2 Pending" fld="21" baseField="0" baseItem="0"/>
    <dataField name="Sum of Paid_Term2" fld="14" baseField="0" baseItem="0"/>
    <dataField name="Sum of Term 3" fld="11" baseField="0" baseItem="0"/>
    <dataField name="Sum of Paid_Term3" fld="15" baseField="0" baseItem="0"/>
    <dataField name="Sum of Term 3 Pending" fld="22" baseField="0" baseItem="0"/>
    <dataField name="Sum of Monthly_Annual Total" fld="32" baseField="0" baseItem="0"/>
    <dataField name="Sum of Annual And Monthly Pending" fld="23" baseField="0" baseItem="0"/>
  </dataFields>
  <formats count="5">
    <format dxfId="36">
      <pivotArea outline="0" fieldPosition="0">
        <references count="1">
          <reference field="4294967294" count="3" selected="0">
            <x v="4"/>
            <x v="5"/>
            <x v="6"/>
          </reference>
        </references>
      </pivotArea>
    </format>
    <format dxfId="35">
      <pivotArea dataOnly="0" labelOnly="1" outline="0" fieldPosition="0">
        <references count="1">
          <reference field="4294967294" count="3">
            <x v="4"/>
            <x v="5"/>
            <x v="6"/>
          </reference>
        </references>
      </pivotArea>
    </format>
    <format dxfId="34">
      <pivotArea dataOnly="0" outline="0" fieldPosition="0">
        <references count="2">
          <reference field="4294967294" count="3">
            <x v="7"/>
            <x v="8"/>
            <x v="9"/>
          </reference>
          <reference field="3" count="1" selected="0">
            <x v="1"/>
          </reference>
        </references>
      </pivotArea>
    </format>
    <format dxfId="33">
      <pivotArea outline="0" fieldPosition="0">
        <references count="1">
          <reference field="4294967294" count="3" selected="0">
            <x v="10"/>
            <x v="11"/>
            <x v="12"/>
          </reference>
        </references>
      </pivotArea>
    </format>
    <format dxfId="32">
      <pivotArea dataOnly="0" labelOnly="1" outline="0" fieldPosition="0">
        <references count="1">
          <reference field="4294967294" count="3">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05EC7A4-9F5F-4A91-8771-A28E2C776EED}" name="PivotTable1" cacheId="6" applyNumberFormats="0" applyBorderFormats="0" applyFontFormats="0" applyPatternFormats="0" applyAlignmentFormats="0" applyWidthHeightFormats="1" dataCaption="Values" updatedVersion="6" minRefreshableVersion="3" showDrill="0" useAutoFormatting="1" itemPrintTitles="1" createdVersion="6" indent="0" compact="0" compactData="0" multipleFieldFilters="0" fieldListSortAscending="1">
  <location ref="A4:R20" firstHeaderRow="0"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Page" compact="0" outline="0" showAll="0" defaultSubtotal="0">
      <items count="13">
        <item x="5"/>
        <item x="7"/>
        <item x="0"/>
        <item x="1"/>
        <item x="2"/>
        <item x="3"/>
        <item x="8"/>
        <item x="9"/>
        <item x="10"/>
        <item x="11"/>
        <item x="4"/>
        <item x="12"/>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axis="axisRow" compact="0" outline="0" showAll="0" defaultSubtotal="0">
      <items count="3">
        <item x="2"/>
        <item x="0"/>
        <item x="1"/>
      </items>
    </pivotField>
    <pivotField compact="0" outline="0" showAll="0" defaultSubtotal="0"/>
    <pivotField dataField="1"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dataField="1" compact="0" outline="0" dragToRow="0" dragToCol="0" dragToPage="0" showAll="0" defaultSubtotal="0"/>
  </pivotFields>
  <rowFields count="3">
    <field x="1"/>
    <field x="2"/>
    <field x="24"/>
  </rowFields>
  <rowItems count="16">
    <i>
      <x v="60"/>
      <x v="98"/>
      <x v="2"/>
    </i>
    <i>
      <x v="81"/>
      <x v="88"/>
      <x v="2"/>
    </i>
    <i>
      <x v="84"/>
      <x v="28"/>
      <x v="1"/>
    </i>
    <i>
      <x v="95"/>
      <x v="36"/>
      <x v="2"/>
    </i>
    <i>
      <x v="96"/>
      <x v="55"/>
      <x v="2"/>
    </i>
    <i>
      <x v="97"/>
      <x v="69"/>
      <x v="2"/>
    </i>
    <i>
      <x v="98"/>
      <x v="73"/>
      <x v="2"/>
    </i>
    <i>
      <x v="99"/>
      <x v="21"/>
      <x v="2"/>
    </i>
    <i>
      <x v="100"/>
      <x v="33"/>
      <x v="2"/>
    </i>
    <i>
      <x v="101"/>
      <x v="48"/>
      <x v="2"/>
    </i>
    <i>
      <x v="102"/>
      <x v="47"/>
      <x v="2"/>
    </i>
    <i>
      <x v="103"/>
      <x v="65"/>
      <x v="2"/>
    </i>
    <i>
      <x v="109"/>
      <x v="56"/>
      <x v="2"/>
    </i>
    <i>
      <x v="110"/>
      <x v="15"/>
      <x v="1"/>
    </i>
    <i>
      <x v="114"/>
      <x v="114"/>
      <x/>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3" item="2" hier="-1"/>
  </pageFields>
  <dataFields count="15">
    <dataField name="Sum of Fee Amount" fld="26" baseField="0" baseItem="0"/>
    <dataField name="Sum of Discounted Fee" fld="19" baseField="0" baseItem="0"/>
    <dataField name="Sum of Paid Fees" fld="30" baseField="0" baseItem="0"/>
    <dataField name="Sum of Amount Reduced" fld="12" baseField="0" baseItem="0"/>
    <dataField name="Sum of Term 1" fld="9" baseField="0" baseItem="0"/>
    <dataField name="Sum of Paid_Term1" fld="13" baseField="0" baseItem="0"/>
    <dataField name="Sum of Term 1 Pending" fld="20" baseField="0" baseItem="0"/>
    <dataField name="Sum of Term 2" fld="10" baseField="0" baseItem="0"/>
    <dataField name="Sum of Term 2 Pending" fld="21" baseField="0" baseItem="0"/>
    <dataField name="Sum of Paid_Term2" fld="14" baseField="0" baseItem="0"/>
    <dataField name="Sum of Term 3" fld="11" baseField="0" baseItem="0"/>
    <dataField name="Sum of Paid_Term3" fld="15" baseField="0" baseItem="0"/>
    <dataField name="Sum of Term 3 Pending" fld="22" baseField="0" baseItem="0"/>
    <dataField name="Sum of Monthly_Annual Total" fld="32" baseField="0" baseItem="0"/>
    <dataField name="Sum of Annual And Monthly Pending" fld="23" baseField="0" baseItem="0"/>
  </dataFields>
  <formats count="7">
    <format dxfId="43">
      <pivotArea outline="0" fieldPosition="0">
        <references count="1">
          <reference field="4294967294" count="3" selected="0">
            <x v="4"/>
            <x v="5"/>
            <x v="6"/>
          </reference>
        </references>
      </pivotArea>
    </format>
    <format dxfId="42">
      <pivotArea dataOnly="0" labelOnly="1" outline="0" fieldPosition="0">
        <references count="1">
          <reference field="4294967294" count="3">
            <x v="4"/>
            <x v="5"/>
            <x v="6"/>
          </reference>
        </references>
      </pivotArea>
    </format>
    <format dxfId="41">
      <pivotArea dataOnly="0" outline="0" fieldPosition="0">
        <references count="2">
          <reference field="4294967294" count="3">
            <x v="7"/>
            <x v="8"/>
            <x v="9"/>
          </reference>
          <reference field="3" count="1" selected="0">
            <x v="1"/>
          </reference>
        </references>
      </pivotArea>
    </format>
    <format dxfId="40">
      <pivotArea outline="0" fieldPosition="0">
        <references count="1">
          <reference field="4294967294" count="3" selected="0">
            <x v="10"/>
            <x v="11"/>
            <x v="12"/>
          </reference>
        </references>
      </pivotArea>
    </format>
    <format dxfId="39">
      <pivotArea dataOnly="0" labelOnly="1" outline="0" fieldPosition="0">
        <references count="1">
          <reference field="4294967294" count="3">
            <x v="10"/>
            <x v="11"/>
            <x v="12"/>
          </reference>
        </references>
      </pivotArea>
    </format>
    <format dxfId="38">
      <pivotArea outline="0" fieldPosition="0">
        <references count="1">
          <reference field="4294967294" count="3" selected="0">
            <x v="7"/>
            <x v="8"/>
            <x v="9"/>
          </reference>
        </references>
      </pivotArea>
    </format>
    <format dxfId="37">
      <pivotArea dataOnly="0" labelOnly="1" outline="0" fieldPosition="0">
        <references count="1">
          <reference field="4294967294" count="3">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2E7105A3-CD6C-4A97-9322-73641B8F5328}" name="PivotTable2" cacheId="6" applyNumberFormats="0" applyBorderFormats="0" applyFontFormats="0" applyPatternFormats="0" applyAlignmentFormats="0" applyWidthHeightFormats="1" dataCaption="Values" updatedVersion="6" minRefreshableVersion="3" showDrill="0" useAutoFormatting="1" itemPrintTitles="1" createdVersion="6" indent="0" compact="0" compactData="0" multipleFieldFilters="0" fieldListSortAscending="1">
  <location ref="A4:R10" firstHeaderRow="0" firstDataRow="1" firstDataCol="3" rowPageCount="2" colPageCount="1"/>
  <pivotFields count="33">
    <pivotField axis="axisPage" compact="0" outline="0" showAll="0" defaultSubtotal="0">
      <items count="2">
        <item x="0"/>
        <item x="1"/>
      </items>
    </pivotField>
    <pivotField axis="axisRow" compact="0" outline="0" showAll="0" defaultSubtotal="0">
      <items count="122">
        <item x="119"/>
        <item x="120"/>
        <item x="111"/>
        <item x="110"/>
        <item x="114"/>
        <item x="116"/>
        <item x="117"/>
        <item x="115"/>
        <item x="94"/>
        <item x="108"/>
        <item x="107"/>
        <item x="98"/>
        <item x="97"/>
        <item x="100"/>
        <item x="105"/>
        <item x="96"/>
        <item x="99"/>
        <item x="101"/>
        <item x="102"/>
        <item x="103"/>
        <item x="92"/>
        <item x="95"/>
        <item x="89"/>
        <item x="90"/>
        <item x="91"/>
        <item x="93"/>
        <item x="37"/>
        <item x="38"/>
        <item x="39"/>
        <item x="36"/>
        <item x="40"/>
        <item x="41"/>
        <item x="43"/>
        <item x="35"/>
        <item x="42"/>
        <item x="45"/>
        <item x="26"/>
        <item x="25"/>
        <item x="28"/>
        <item x="34"/>
        <item x="27"/>
        <item x="32"/>
        <item x="30"/>
        <item x="31"/>
        <item x="15"/>
        <item x="18"/>
        <item x="20"/>
        <item x="21"/>
        <item x="22"/>
        <item x="16"/>
        <item x="69"/>
        <item x="71"/>
        <item x="79"/>
        <item x="80"/>
        <item x="81"/>
        <item x="70"/>
        <item x="72"/>
        <item x="74"/>
        <item x="82"/>
        <item x="83"/>
        <item x="14"/>
        <item x="51"/>
        <item x="52"/>
        <item x="55"/>
        <item x="56"/>
        <item x="57"/>
        <item x="59"/>
        <item m="1" x="121"/>
        <item x="65"/>
        <item x="50"/>
        <item x="53"/>
        <item x="54"/>
        <item x="60"/>
        <item x="62"/>
        <item x="63"/>
        <item x="64"/>
        <item x="109"/>
        <item x="49"/>
        <item x="104"/>
        <item x="24"/>
        <item x="78"/>
        <item x="13"/>
        <item x="87"/>
        <item x="23"/>
        <item x="2"/>
        <item x="44"/>
        <item x="17"/>
        <item x="19"/>
        <item x="112"/>
        <item x="76"/>
        <item x="61"/>
        <item x="118"/>
        <item x="46"/>
        <item x="48"/>
        <item x="47"/>
        <item x="4"/>
        <item x="7"/>
        <item x="10"/>
        <item x="11"/>
        <item x="1"/>
        <item x="3"/>
        <item x="6"/>
        <item x="5"/>
        <item x="9"/>
        <item x="75"/>
        <item x="85"/>
        <item x="73"/>
        <item x="33"/>
        <item x="113"/>
        <item x="8"/>
        <item x="0"/>
        <item x="68"/>
        <item x="67"/>
        <item x="66"/>
        <item x="12"/>
        <item x="29"/>
        <item x="58"/>
        <item x="77"/>
        <item x="86"/>
        <item x="84"/>
        <item x="88"/>
        <item x="106"/>
      </items>
    </pivotField>
    <pivotField axis="axisRow" compact="0" outline="0" showAll="0" defaultSubtotal="0">
      <items count="122">
        <item x="110"/>
        <item x="50"/>
        <item x="51"/>
        <item x="69"/>
        <item x="111"/>
        <item x="96"/>
        <item x="35"/>
        <item x="52"/>
        <item x="36"/>
        <item x="70"/>
        <item x="112"/>
        <item x="25"/>
        <item x="37"/>
        <item x="38"/>
        <item x="89"/>
        <item x="0"/>
        <item x="15"/>
        <item x="53"/>
        <item x="16"/>
        <item x="97"/>
        <item x="46"/>
        <item x="1"/>
        <item x="71"/>
        <item x="47"/>
        <item x="26"/>
        <item x="17"/>
        <item x="119"/>
        <item x="113"/>
        <item x="2"/>
        <item x="54"/>
        <item x="72"/>
        <item x="107"/>
        <item x="73"/>
        <item x="3"/>
        <item x="66"/>
        <item x="90"/>
        <item x="4"/>
        <item x="67"/>
        <item x="74"/>
        <item x="75"/>
        <item x="114"/>
        <item x="115"/>
        <item x="116"/>
        <item x="39"/>
        <item x="76"/>
        <item x="18"/>
        <item x="91"/>
        <item x="5"/>
        <item x="6"/>
        <item x="92"/>
        <item x="27"/>
        <item x="78"/>
        <item x="55"/>
        <item x="117"/>
        <item x="28"/>
        <item x="7"/>
        <item x="8"/>
        <item x="19"/>
        <item x="98"/>
        <item x="56"/>
        <item x="79"/>
        <item x="68"/>
        <item x="108"/>
        <item x="40"/>
        <item x="109"/>
        <item x="9"/>
        <item x="41"/>
        <item x="99"/>
        <item x="57"/>
        <item x="10"/>
        <item x="100"/>
        <item x="101"/>
        <item x="80"/>
        <item x="11"/>
        <item x="59"/>
        <item x="81"/>
        <item x="82"/>
        <item x="102"/>
        <item x="93"/>
        <item x="83"/>
        <item x="30"/>
        <item x="94"/>
        <item x="60"/>
        <item x="20"/>
        <item x="61"/>
        <item x="118"/>
        <item x="103"/>
        <item x="31"/>
        <item x="13"/>
        <item x="120"/>
        <item x="32"/>
        <item x="42"/>
        <item x="62"/>
        <item x="48"/>
        <item x="33"/>
        <item x="43"/>
        <item x="104"/>
        <item x="63"/>
        <item x="14"/>
        <item x="21"/>
        <item x="34"/>
        <item x="44"/>
        <item x="105"/>
        <item x="22"/>
        <item x="85"/>
        <item x="87"/>
        <item x="23"/>
        <item x="45"/>
        <item x="24"/>
        <item x="64"/>
        <item x="95"/>
        <item x="49"/>
        <item m="1" x="121"/>
        <item x="65"/>
        <item x="12"/>
        <item x="29"/>
        <item x="58"/>
        <item x="77"/>
        <item x="86"/>
        <item x="84"/>
        <item x="88"/>
        <item x="106"/>
      </items>
    </pivotField>
    <pivotField axis="axisRow" compact="0" outline="0" showAll="0" defaultSubtotal="0">
      <items count="13">
        <item x="5"/>
        <item x="7"/>
        <item x="0"/>
        <item x="1"/>
        <item x="2"/>
        <item x="3"/>
        <item x="8"/>
        <item x="9"/>
        <item x="10"/>
        <item x="11"/>
        <item x="4"/>
        <item x="12"/>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axis="axisPage" compact="0" outline="0" showAll="0" defaultSubtotal="0">
      <items count="3">
        <item x="2"/>
        <item x="0"/>
        <item x="1"/>
      </items>
    </pivotField>
    <pivotField compact="0" outline="0" showAll="0" defaultSubtotal="0"/>
    <pivotField dataField="1" compact="0" outline="0" showAll="0" defaultSubtotal="0"/>
    <pivotField compact="0" outline="0" subtotalTop="0" showAll="0" defaultSubtotal="0"/>
    <pivotField compact="0" outline="0" showAll="0" defaultSubtotal="0"/>
    <pivotField compact="0" outline="0" subtotalTop="0" showAll="0" defaultSubtotal="0"/>
    <pivotField dataField="1" compact="0" outline="0" dragToRow="0" dragToCol="0" dragToPage="0" showAll="0" defaultSubtotal="0"/>
    <pivotField compact="0" outline="0" dragToRow="0" dragToCol="0" dragToPage="0" showAll="0" defaultSubtotal="0"/>
    <pivotField dataField="1" compact="0" outline="0" dragToRow="0" dragToCol="0" dragToPage="0" showAll="0" defaultSubtotal="0"/>
  </pivotFields>
  <rowFields count="3">
    <field x="1"/>
    <field x="2"/>
    <field x="3"/>
  </rowFields>
  <rowItems count="6">
    <i>
      <x v="114"/>
      <x v="114"/>
      <x v="2"/>
    </i>
    <i>
      <x v="118"/>
      <x v="118"/>
      <x v="1"/>
    </i>
    <i>
      <x v="119"/>
      <x v="119"/>
      <x v="1"/>
    </i>
    <i>
      <x v="120"/>
      <x v="120"/>
      <x v="6"/>
    </i>
    <i>
      <x v="121"/>
      <x v="121"/>
      <x v="8"/>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4" item="0" hier="-1"/>
  </pageFields>
  <dataFields count="15">
    <dataField name="Sum of Fee Amount" fld="26" baseField="0" baseItem="0"/>
    <dataField name="Sum of Discounted Fee" fld="19" baseField="0" baseItem="0"/>
    <dataField name="Sum of Paid Fees" fld="30" baseField="0" baseItem="0"/>
    <dataField name="Sum of Amount Reduced" fld="12" baseField="0" baseItem="0"/>
    <dataField name="Sum of Term 1" fld="9" baseField="0" baseItem="0"/>
    <dataField name="Sum of Paid_Term1" fld="13" baseField="0" baseItem="0"/>
    <dataField name="Sum of Term 1 Pending" fld="20" baseField="0" baseItem="0"/>
    <dataField name="Sum of Term 2" fld="10" baseField="0" baseItem="0"/>
    <dataField name="Sum of Term 2 Pending" fld="21" baseField="0" baseItem="0"/>
    <dataField name="Sum of Paid_Term2" fld="14" baseField="0" baseItem="0"/>
    <dataField name="Sum of Term 3" fld="11" baseField="0" baseItem="0"/>
    <dataField name="Sum of Paid_Term3" fld="15" baseField="0" baseItem="0"/>
    <dataField name="Sum of Term 3 Pending" fld="22" baseField="0" baseItem="0"/>
    <dataField name="Sum of Monthly_Annual Total" fld="32" baseField="0" baseItem="0"/>
    <dataField name="Sum of Annual And Monthly Pending" fld="23" baseField="0" baseItem="0"/>
  </dataFields>
  <formats count="5">
    <format dxfId="31">
      <pivotArea outline="0" fieldPosition="0">
        <references count="1">
          <reference field="4294967294" count="3" selected="0">
            <x v="4"/>
            <x v="5"/>
            <x v="6"/>
          </reference>
        </references>
      </pivotArea>
    </format>
    <format dxfId="30">
      <pivotArea dataOnly="0" labelOnly="1" outline="0" fieldPosition="0">
        <references count="1">
          <reference field="4294967294" count="3">
            <x v="4"/>
            <x v="5"/>
            <x v="6"/>
          </reference>
        </references>
      </pivotArea>
    </format>
    <format dxfId="29">
      <pivotArea dataOnly="0" outline="0" fieldPosition="0">
        <references count="2">
          <reference field="4294967294" count="3">
            <x v="7"/>
            <x v="8"/>
            <x v="9"/>
          </reference>
          <reference field="3" count="1" selected="0">
            <x v="1"/>
          </reference>
        </references>
      </pivotArea>
    </format>
    <format dxfId="28">
      <pivotArea outline="0" fieldPosition="0">
        <references count="1">
          <reference field="4294967294" count="3" selected="0">
            <x v="10"/>
            <x v="11"/>
            <x v="12"/>
          </reference>
        </references>
      </pivotArea>
    </format>
    <format dxfId="27">
      <pivotArea dataOnly="0" labelOnly="1" outline="0" fieldPosition="0">
        <references count="1">
          <reference field="4294967294" count="3">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ademic_Year2" xr10:uid="{45FF88D8-BABF-4A6A-805C-C684B3A7AACD}" sourceName="Academic Year">
  <pivotTables>
    <pivotTable tabId="6" name="PivotTable10"/>
    <pivotTable tabId="6" name="PivotTable11"/>
    <pivotTable tabId="6" name="PivotTable12"/>
    <pivotTable tabId="6" name="PivotTable13"/>
    <pivotTable tabId="6" name="PivotTable15"/>
    <pivotTable tabId="6" name="PivotTable16"/>
    <pivotTable tabId="6" name="PivotTable17"/>
    <pivotTable tabId="6" name="PivotTable18"/>
    <pivotTable tabId="6" name="PivotTable19"/>
    <pivotTable tabId="6" name="PivotTable20"/>
    <pivotTable tabId="6" name="PivotTable21"/>
    <pivotTable tabId="6" name="PivotTable22"/>
    <pivotTable tabId="6" name="PivotTable23"/>
    <pivotTable tabId="6" name="PivotTable24"/>
    <pivotTable tabId="6" name="PivotTable25"/>
    <pivotTable tabId="6" name="PivotTable26"/>
    <pivotTable tabId="6" name="PivotTable27"/>
    <pivotTable tabId="6" name="PivotTable28"/>
    <pivotTable tabId="6" name="PivotTable29"/>
    <pivotTable tabId="6" name="PivotTable30"/>
    <pivotTable tabId="6" name="PivotTable33"/>
    <pivotTable tabId="6" name="PivotTable34"/>
    <pivotTable tabId="6" name="PivotTable1"/>
    <pivotTable tabId="6" name="PivotTable2"/>
  </pivotTables>
  <data>
    <tabular pivotCacheId="1940384426">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ademic Year 3" xr10:uid="{79FDDBC7-AC96-424B-A2FC-8D3BF1ADD80B}" cache="Slicer_Academic_Year2" caption="Academic Year" columnCount="2" style="Custom Formatting"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ademic Year 4" xr10:uid="{AFCAA57C-B3BB-4306-B0E3-A163A3E75D76}" cache="Slicer_Academic_Year2" caption="Academic Year" columnCount="2" style="Custom Formatting"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ademic Year" xr10:uid="{3738CA2A-9276-47DE-807E-8FAF0BE49C58}" cache="Slicer_Academic_Year2" caption="Academic Year" style="Custom Formatting" rowHeight="241300"/>
  <slicer name="Academic Year 2" xr10:uid="{367D5CC9-F330-4FDA-BA09-ED508C7FCE54}" cache="Slicer_Academic_Year2" caption="Academic Year" columnCount="2" style="Custom Formatting"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4A2BDF-AD05-4E28-B958-236781BCED84}" name="Table66846" displayName="Table66846" ref="A32:K46" totalsRowCount="1" headerRowDxfId="97" dataDxfId="96">
  <autoFilter ref="A32:K45" xr:uid="{337D2D68-6F8A-481D-A68D-2CA37047F70D}"/>
  <tableColumns count="11">
    <tableColumn id="1" xr3:uid="{99240FB1-30ED-47D5-9250-3D348427C027}" name="Class" totalsRowDxfId="95"/>
    <tableColumn id="2" xr3:uid="{CD6977DA-6F2E-47B9-8DA3-F8B4C2324595}" name=" Annual_Fee_Amount" totalsRowFunction="custom" dataDxfId="94" totalsRowDxfId="93">
      <calculatedColumnFormula>B4</calculatedColumnFormula>
      <totalsRowFormula>SUM(Table66846[ Annual_Fee_Amount])</totalsRowFormula>
    </tableColumn>
    <tableColumn id="3" xr3:uid="{4A83F26B-BC59-4D88-A2D6-BFDD7C1E994D}" name="Missing_Fees" totalsRowFunction="custom" dataDxfId="92" totalsRowDxfId="91">
      <calculatedColumnFormula>C4</calculatedColumnFormula>
      <totalsRowFormula>SUM(Table66846[Missing_Fees])</totalsRowFormula>
    </tableColumn>
    <tableColumn id="4" xr3:uid="{956524EA-CC59-4A93-B388-054466CFB797}" name=" Discounted_Fee" totalsRowFunction="sum" dataDxfId="90" totalsRowDxfId="89">
      <calculatedColumnFormula>D4</calculatedColumnFormula>
    </tableColumn>
    <tableColumn id="5" xr3:uid="{ABA8819F-5775-47B1-8A9D-C0BD94EFD1C0}" name="Amount_Reduced" totalsRowFunction="custom" dataDxfId="88" totalsRowDxfId="87">
      <calculatedColumnFormula>E4</calculatedColumnFormula>
      <totalsRowFormula>SUM(Table66846[Amount_Reduced])</totalsRowFormula>
    </tableColumn>
    <tableColumn id="6" xr3:uid="{2EAE7650-EAE3-45AB-A9A5-84C7DB61E140}" name="Paid_Fees" totalsRowFunction="custom" dataDxfId="86" totalsRowDxfId="85">
      <calculatedColumnFormula>F4</calculatedColumnFormula>
      <totalsRowFormula>SUM(Table66846[Paid_Fees])</totalsRowFormula>
    </tableColumn>
    <tableColumn id="7" xr3:uid="{9CE19D6D-802F-4979-9AA5-1CB647ACE077}" name=" Pending_Fees" totalsRowFunction="custom" dataDxfId="84" totalsRowDxfId="83">
      <calculatedColumnFormula>G4</calculatedColumnFormula>
      <totalsRowFormula>SUM(Table66846[] Table66846[ Pending_Fees] )</totalsRowFormula>
    </tableColumn>
    <tableColumn id="8" xr3:uid="{7EF00C50-2097-44D6-865A-316D0452119F}" name="Boys" totalsRowFunction="custom" dataDxfId="82" totalsRowDxfId="81">
      <calculatedColumnFormula>IFERROR(GETPIVOTDATA("Gender",$I$209,"Old Class","PRE-KG","Gender","Male"),0)</calculatedColumnFormula>
      <totalsRowFormula>SUM(Table66846[Boys])</totalsRowFormula>
    </tableColumn>
    <tableColumn id="9" xr3:uid="{DD918D88-E883-4632-9909-477D49670132}" name="Girls" totalsRowFunction="custom" dataDxfId="80" totalsRowDxfId="79">
      <totalsRowFormula>SUM(Table66846[Girls])</totalsRowFormula>
    </tableColumn>
    <tableColumn id="10" xr3:uid="{37851E5E-4DBA-4558-9AA9-8692152A76E3}" name="Strength" totalsRowFunction="custom" dataDxfId="78" totalsRowDxfId="77">
      <calculatedColumnFormula>H33+I33</calculatedColumnFormula>
      <totalsRowFormula>SUM(Table66846[Strength])</totalsRowFormula>
    </tableColumn>
    <tableColumn id="11" xr3:uid="{00973F26-BFE9-449B-8136-BEDBDC22537D}" name="Fee Estimate" totalsRowFunction="custom" dataDxfId="76" totalsRowDxfId="75">
      <calculatedColumnFormula>D33+C33</calculatedColumnFormula>
      <totalsRowFormula>SUM(Table66846[Fee Estimate])</totalsRowFormula>
    </tableColumn>
  </tableColumns>
  <tableStyleInfo name="TableStyleMedium2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2EDBA7-BD87-48AA-A599-E32A9D951775}" name="Table66835" displayName="Table66835" ref="A273:N287" totalsRowCount="1" headerRowDxfId="74" dataDxfId="73">
  <autoFilter ref="A273:N286" xr:uid="{CEC8729E-B01F-4666-A43C-0946A65091FB}"/>
  <tableColumns count="14">
    <tableColumn id="1" xr3:uid="{113CED87-E45C-4D7D-B297-CB23E02F8A68}" name="Class" totalsRowDxfId="72"/>
    <tableColumn id="2" xr3:uid="{4FAEE549-C4F6-4110-866E-CE760F8D21DE}" name="Term 1 Fees" dataDxfId="71" totalsRowDxfId="70"/>
    <tableColumn id="3" xr3:uid="{53F46CBF-D999-47A8-A6BC-DD5A53877653}" name="Term 1 Paid" dataDxfId="69" totalsRowDxfId="68"/>
    <tableColumn id="4" xr3:uid="{652F0063-CB56-44D7-811F-5C39906120BD}" name="Term 1 Pending" dataDxfId="67" totalsRowDxfId="66"/>
    <tableColumn id="5" xr3:uid="{2615D7A8-9711-4A12-A05B-F77001F73E53}" name="Term 2 Fees" dataDxfId="65" totalsRowDxfId="64"/>
    <tableColumn id="6" xr3:uid="{000BE5EC-FD2D-46A6-8FAA-DACCDA8706D9}" name="Term 2 Paid" dataDxfId="63" totalsRowDxfId="62"/>
    <tableColumn id="7" xr3:uid="{E9E94D5D-07FD-49A0-B4CA-BE67FED2B76F}" name="Term 2 Pending" dataDxfId="61" totalsRowDxfId="60"/>
    <tableColumn id="8" xr3:uid="{A4EBBB5C-973D-4B31-9B10-7D751B1FF41E}" name="Term 3 Fees" dataDxfId="59" totalsRowDxfId="58"/>
    <tableColumn id="9" xr3:uid="{AA07D831-8AAF-4A8D-971A-C742248E2B04}" name="Term 3 Paid" dataDxfId="57" totalsRowDxfId="56"/>
    <tableColumn id="10" xr3:uid="{5D86B6FF-6560-4A4B-97D9-0B305CF0DCC5}" name="Term 3 Pending" dataDxfId="55" totalsRowDxfId="54"/>
    <tableColumn id="11" xr3:uid="{DBFC1F3E-C79A-4EA8-890E-87E337928EA2}" name="Sum of Paid_Monthly" dataDxfId="53" totalsRowDxfId="52"/>
    <tableColumn id="12" xr3:uid="{38107635-BAB9-4D1F-BE34-C47E658F89E9}" name="_Paid_Annual" dataDxfId="51" totalsRowDxfId="50"/>
    <tableColumn id="13" xr3:uid="{6217AF95-FAD9-4AEE-92C6-677EA71352B2}" name="_Total Month_Annual" dataDxfId="49" totalsRowDxfId="48"/>
    <tableColumn id="14" xr3:uid="{B54DBB0D-5CB6-4FC5-8EF5-EE519046C581}" name="_Annual Pending And Monthly" dataDxfId="47" totalsRowDxfId="46"/>
  </tableColumns>
  <tableStyleInfo name="TableStyleMedium2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microsoft.com/office/2007/relationships/slicer" Target="../slicers/slicer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table" Target="../tables/table1.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drawing" Target="../drawings/drawing3.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microsoft.com/office/2007/relationships/slicer" Target="../slicers/slicer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140FF-FD18-41EF-AEEF-BB93A70031D6}">
  <sheetPr codeName="Sheet12"/>
  <dimension ref="E27:AA148"/>
  <sheetViews>
    <sheetView showGridLines="0" showRowColHeaders="0" tabSelected="1" zoomScale="58" zoomScaleNormal="58" workbookViewId="0">
      <pane ySplit="4" topLeftCell="A11" activePane="bottomLeft" state="frozen"/>
      <selection activeCell="I41" sqref="I41"/>
      <selection pane="bottomLeft" activeCell="K24" sqref="K24"/>
    </sheetView>
  </sheetViews>
  <sheetFormatPr defaultRowHeight="14.5" x14ac:dyDescent="0.35"/>
  <cols>
    <col min="1" max="1" width="7.453125" style="1" customWidth="1"/>
    <col min="2" max="2" width="8.7265625" style="1"/>
    <col min="3" max="3" width="10.90625" style="1" customWidth="1"/>
    <col min="4" max="4" width="3.7265625" style="1" customWidth="1"/>
    <col min="5" max="5" width="16.6328125" style="1" bestFit="1" customWidth="1"/>
    <col min="6" max="6" width="21.7265625" style="1" bestFit="1" customWidth="1"/>
    <col min="7" max="7" width="14.54296875" style="1" customWidth="1"/>
    <col min="8" max="8" width="3.26953125" style="1" customWidth="1"/>
    <col min="9" max="9" width="3.08984375" style="1" customWidth="1"/>
    <col min="10" max="10" width="3.36328125" style="1" customWidth="1"/>
    <col min="11" max="11" width="10.54296875" style="1" customWidth="1"/>
    <col min="12" max="12" width="22" style="1" customWidth="1"/>
    <col min="13" max="13" width="17.453125" style="1" customWidth="1"/>
    <col min="14" max="14" width="20.6328125" style="1" bestFit="1" customWidth="1"/>
    <col min="15" max="15" width="14" style="1" customWidth="1"/>
    <col min="16" max="16" width="9.81640625" style="1" customWidth="1"/>
    <col min="17" max="17" width="9.453125" style="1" hidden="1" customWidth="1"/>
    <col min="18" max="18" width="2.7265625" style="1" customWidth="1"/>
    <col min="19" max="20" width="8.7265625" style="1"/>
    <col min="21" max="21" width="11.26953125" style="1" customWidth="1"/>
    <col min="22" max="22" width="17.90625" style="1" customWidth="1"/>
    <col min="23" max="23" width="20.6328125" style="1" customWidth="1"/>
    <col min="24" max="24" width="15" style="1" customWidth="1"/>
    <col min="25" max="25" width="7.54296875" style="1" customWidth="1"/>
    <col min="26" max="26" width="3.6328125" style="1" customWidth="1"/>
    <col min="27" max="27" width="4.26953125" style="1" customWidth="1"/>
    <col min="28" max="28" width="5" style="1" customWidth="1"/>
    <col min="29" max="16384" width="8.7265625" style="1"/>
  </cols>
  <sheetData>
    <row r="27" spans="5:27" x14ac:dyDescent="0.35">
      <c r="AA27" s="2"/>
    </row>
    <row r="32" spans="5:27" x14ac:dyDescent="0.35">
      <c r="E32" s="79"/>
      <c r="F32" s="79"/>
      <c r="G32" s="79"/>
      <c r="H32" s="79"/>
      <c r="I32" s="79"/>
    </row>
    <row r="33" spans="5:24" x14ac:dyDescent="0.35">
      <c r="E33" s="18" t="s">
        <v>0</v>
      </c>
      <c r="F33" s="18" t="s">
        <v>1</v>
      </c>
      <c r="G33" s="18" t="s">
        <v>2</v>
      </c>
      <c r="M33" s="18" t="s">
        <v>0</v>
      </c>
      <c r="N33" s="18" t="s">
        <v>1</v>
      </c>
      <c r="O33" s="18" t="s">
        <v>2</v>
      </c>
      <c r="V33" s="3" t="s">
        <v>0</v>
      </c>
      <c r="W33" s="3" t="s">
        <v>1</v>
      </c>
      <c r="X33" s="3" t="s">
        <v>2</v>
      </c>
    </row>
    <row r="34" spans="5:24" ht="15" x14ac:dyDescent="0.35">
      <c r="E34" s="4" t="str">
        <f ca="1">OFFSET(FinalAnalysis!A81,FinalAnalysis!$C$79,0)</f>
        <v>NLMA01252024</v>
      </c>
      <c r="F34" s="4" t="str">
        <f ca="1">OFFSET(FinalAnalysis!B81,FinalAnalysis!$C$79,0)</f>
        <v>MURUGAVEL</v>
      </c>
      <c r="G34" s="4" t="str">
        <f ca="1">OFFSET(FinalAnalysis!C81,FinalAnalysis!$C$79,0)</f>
        <v>Paid Fully</v>
      </c>
      <c r="M34" s="4" t="str">
        <f ca="1">OFFSET(FinalAnalysis!F81,FinalAnalysis!$H$79,0)</f>
        <v>NLMA00722024</v>
      </c>
      <c r="N34" s="4" t="str">
        <f ca="1">OFFSET(FinalAnalysis!G81,FinalAnalysis!$H$79,0)</f>
        <v>AHAVA TITUS R</v>
      </c>
      <c r="O34" s="4" t="str">
        <f ca="1">OFFSET(FinalAnalysis!H81,FinalAnalysis!$H$79,0)</f>
        <v>Paid Fully</v>
      </c>
      <c r="V34" s="4" t="str">
        <f ca="1">OFFSET(FinalAnalysis!K81,FinalAnalysis!$M$79,0)</f>
        <v>NLMA00912024</v>
      </c>
      <c r="W34" s="4" t="str">
        <f ca="1">OFFSET(FinalAnalysis!L81,FinalAnalysis!$M$79,0)</f>
        <v>MAKITHESH</v>
      </c>
      <c r="X34" s="4" t="str">
        <f ca="1">OFFSET(FinalAnalysis!M81,FinalAnalysis!$M$79,0)</f>
        <v>Paid Fully</v>
      </c>
    </row>
    <row r="35" spans="5:24" ht="15" x14ac:dyDescent="0.35">
      <c r="E35" s="4" t="str">
        <f ca="1">OFFSET(FinalAnalysis!A82,FinalAnalysis!$C$79,0)</f>
        <v>NLMA01262024</v>
      </c>
      <c r="F35" s="4" t="str">
        <f ca="1">OFFSET(FinalAnalysis!B82,FinalAnalysis!$C$79,0)</f>
        <v>JHANVI SHREE</v>
      </c>
      <c r="G35" s="4" t="str">
        <f ca="1">OFFSET(FinalAnalysis!C82,FinalAnalysis!$C$79,0)</f>
        <v>Pending</v>
      </c>
      <c r="M35" s="4" t="str">
        <f ca="1">OFFSET(FinalAnalysis!F82,FinalAnalysis!$H$79,0)</f>
        <v>NLMA00732024</v>
      </c>
      <c r="N35" s="4" t="str">
        <f ca="1">OFFSET(FinalAnalysis!G82,FinalAnalysis!$H$79,0)</f>
        <v>ARWIN CHADWICK M</v>
      </c>
      <c r="O35" s="4" t="str">
        <f ca="1">OFFSET(FinalAnalysis!H82,FinalAnalysis!$H$79,0)</f>
        <v>Pending</v>
      </c>
      <c r="V35" s="4" t="str">
        <f ca="1">OFFSET(FinalAnalysis!K82,FinalAnalysis!$M$79,0)</f>
        <v>NLMA00932024</v>
      </c>
      <c r="W35" s="4" t="str">
        <f ca="1">OFFSET(FinalAnalysis!L82,FinalAnalysis!$M$79,0)</f>
        <v>VARUN</v>
      </c>
      <c r="X35" s="4" t="str">
        <f ca="1">OFFSET(FinalAnalysis!M82,FinalAnalysis!$M$79,0)</f>
        <v>Pending</v>
      </c>
    </row>
    <row r="36" spans="5:24" ht="15" x14ac:dyDescent="0.35">
      <c r="E36" s="4" t="str">
        <f ca="1">OFFSET(FinalAnalysis!A83,FinalAnalysis!$C$79,0)</f>
        <v>NLMA01272024</v>
      </c>
      <c r="F36" s="4" t="str">
        <f ca="1">OFFSET(FinalAnalysis!B83,FinalAnalysis!$C$79,0)</f>
        <v>JEFIN MATHEUS</v>
      </c>
      <c r="G36" s="4" t="str">
        <f ca="1">OFFSET(FinalAnalysis!C83,FinalAnalysis!$C$79,0)</f>
        <v>Paid Fully</v>
      </c>
      <c r="M36" s="4" t="str">
        <f ca="1">OFFSET(FinalAnalysis!F83,FinalAnalysis!$H$79,0)</f>
        <v>NLMA00742024</v>
      </c>
      <c r="N36" s="4" t="str">
        <f ca="1">OFFSET(FinalAnalysis!G83,FinalAnalysis!$H$79,0)</f>
        <v>MARAN E</v>
      </c>
      <c r="O36" s="4" t="str">
        <f ca="1">OFFSET(FinalAnalysis!H83,FinalAnalysis!$H$79,0)</f>
        <v>Pending</v>
      </c>
      <c r="V36" s="4" t="str">
        <f ca="1">OFFSET(FinalAnalysis!K83,FinalAnalysis!$M$79,0)</f>
        <v>NLMA01032024</v>
      </c>
      <c r="W36" s="4" t="str">
        <f ca="1">OFFSET(FinalAnalysis!L83,FinalAnalysis!$M$79,0)</f>
        <v>KHAVISHNA M</v>
      </c>
      <c r="X36" s="4" t="str">
        <f ca="1">OFFSET(FinalAnalysis!M83,FinalAnalysis!$M$79,0)</f>
        <v>Pending</v>
      </c>
    </row>
    <row r="37" spans="5:24" ht="15" x14ac:dyDescent="0.35">
      <c r="E37" s="4">
        <f ca="1">OFFSET(FinalAnalysis!A84,FinalAnalysis!$C$79,0)</f>
        <v>0</v>
      </c>
      <c r="F37" s="4">
        <f ca="1">OFFSET(FinalAnalysis!B84,FinalAnalysis!$C$79,0)</f>
        <v>0</v>
      </c>
      <c r="G37" s="4">
        <f ca="1">OFFSET(FinalAnalysis!C84,FinalAnalysis!$C$79,0)</f>
        <v>0</v>
      </c>
      <c r="M37" s="4" t="str">
        <f ca="1">OFFSET(FinalAnalysis!F84,FinalAnalysis!$H$79,0)</f>
        <v>NLMA00752024</v>
      </c>
      <c r="N37" s="4" t="str">
        <f ca="1">OFFSET(FinalAnalysis!G84,FinalAnalysis!$H$79,0)</f>
        <v>MUGILAN E</v>
      </c>
      <c r="O37" s="4" t="str">
        <f ca="1">OFFSET(FinalAnalysis!H84,FinalAnalysis!$H$79,0)</f>
        <v>Pending</v>
      </c>
      <c r="V37" s="4" t="str">
        <f ca="1">OFFSET(FinalAnalysis!K84,FinalAnalysis!$M$79,0)</f>
        <v>NLMA01182024</v>
      </c>
      <c r="W37" s="4" t="str">
        <f ca="1">OFFSET(FinalAnalysis!L84,FinalAnalysis!$M$79,0)</f>
        <v>KABINESH. S</v>
      </c>
      <c r="X37" s="4" t="str">
        <f ca="1">OFFSET(FinalAnalysis!M84,FinalAnalysis!$M$79,0)</f>
        <v>Pending</v>
      </c>
    </row>
    <row r="38" spans="5:24" ht="15" x14ac:dyDescent="0.35">
      <c r="E38" s="4">
        <f ca="1">OFFSET(FinalAnalysis!A85,FinalAnalysis!$C$79,0)</f>
        <v>0</v>
      </c>
      <c r="F38" s="4">
        <f ca="1">OFFSET(FinalAnalysis!B85,FinalAnalysis!$C$79,0)</f>
        <v>0</v>
      </c>
      <c r="G38" s="4">
        <f ca="1">OFFSET(FinalAnalysis!C85,FinalAnalysis!$C$79,0)</f>
        <v>0</v>
      </c>
      <c r="M38" s="4" t="str">
        <f ca="1">OFFSET(FinalAnalysis!F85,FinalAnalysis!$H$79,0)</f>
        <v>NLMA00762024</v>
      </c>
      <c r="N38" s="4" t="str">
        <f ca="1">OFFSET(FinalAnalysis!G85,FinalAnalysis!$H$79,0)</f>
        <v>PAUL FELIX P</v>
      </c>
      <c r="O38" s="4" t="str">
        <f ca="1">OFFSET(FinalAnalysis!H85,FinalAnalysis!$H$79,0)</f>
        <v>Paid Fully</v>
      </c>
      <c r="V38" s="4" t="str">
        <f ca="1">OFFSET(FinalAnalysis!K85,FinalAnalysis!$M$79,0)</f>
        <v>NLMA01192024</v>
      </c>
      <c r="W38" s="4" t="str">
        <f ca="1">OFFSET(FinalAnalysis!L85,FinalAnalysis!$M$79,0)</f>
        <v xml:space="preserve">UDHAYA SRI . S </v>
      </c>
      <c r="X38" s="4" t="str">
        <f ca="1">OFFSET(FinalAnalysis!M85,FinalAnalysis!$M$79,0)</f>
        <v>Pending</v>
      </c>
    </row>
    <row r="39" spans="5:24" ht="15" x14ac:dyDescent="0.35">
      <c r="E39" s="4">
        <f ca="1">OFFSET(FinalAnalysis!A86,FinalAnalysis!$C$79,0)</f>
        <v>0</v>
      </c>
      <c r="F39" s="4">
        <f ca="1">OFFSET(FinalAnalysis!B86,FinalAnalysis!$C$79,0)</f>
        <v>0</v>
      </c>
      <c r="G39" s="4">
        <f ca="1">OFFSET(FinalAnalysis!C86,FinalAnalysis!$C$79,0)</f>
        <v>0</v>
      </c>
      <c r="M39" s="4" t="str">
        <f ca="1">OFFSET(FinalAnalysis!F86,FinalAnalysis!$H$79,0)</f>
        <v>NLMA00772024</v>
      </c>
      <c r="N39" s="4" t="str">
        <f ca="1">OFFSET(FinalAnalysis!G86,FinalAnalysis!$H$79,0)</f>
        <v>SAKTHIVEL S</v>
      </c>
      <c r="O39" s="4" t="str">
        <f ca="1">OFFSET(FinalAnalysis!H86,FinalAnalysis!$H$79,0)</f>
        <v>Pending</v>
      </c>
      <c r="V39" s="4" t="str">
        <f ca="1">OFFSET(FinalAnalysis!K86,FinalAnalysis!$M$79,0)</f>
        <v>NLMA01202024</v>
      </c>
      <c r="W39" s="4" t="str">
        <f ca="1">OFFSET(FinalAnalysis!L86,FinalAnalysis!$M$79,0)</f>
        <v>JASLIN</v>
      </c>
      <c r="X39" s="4" t="str">
        <f ca="1">OFFSET(FinalAnalysis!M86,FinalAnalysis!$M$79,0)</f>
        <v>Pending</v>
      </c>
    </row>
    <row r="40" spans="5:24" ht="15" x14ac:dyDescent="0.35">
      <c r="E40" s="4"/>
      <c r="F40" s="4"/>
      <c r="G40" s="4"/>
      <c r="V40" s="4"/>
      <c r="W40" s="4"/>
      <c r="X40" s="4"/>
    </row>
    <row r="41" spans="5:24" ht="15" x14ac:dyDescent="0.35">
      <c r="E41" s="4"/>
      <c r="F41" s="4"/>
      <c r="G41" s="4"/>
    </row>
    <row r="42" spans="5:24" ht="15" x14ac:dyDescent="0.35">
      <c r="E42" s="4"/>
      <c r="F42" s="4"/>
      <c r="G42" s="4"/>
    </row>
    <row r="60" spans="5:24" x14ac:dyDescent="0.35">
      <c r="E60" s="3" t="s">
        <v>0</v>
      </c>
      <c r="F60" s="3" t="s">
        <v>1</v>
      </c>
      <c r="G60" s="3" t="s">
        <v>2</v>
      </c>
      <c r="M60" s="3" t="s">
        <v>0</v>
      </c>
      <c r="N60" s="3" t="s">
        <v>1</v>
      </c>
      <c r="O60" s="3" t="s">
        <v>2</v>
      </c>
      <c r="V60" s="3" t="s">
        <v>0</v>
      </c>
      <c r="W60" s="3" t="s">
        <v>1</v>
      </c>
      <c r="X60" s="3" t="s">
        <v>2</v>
      </c>
    </row>
    <row r="61" spans="5:24" ht="15" x14ac:dyDescent="0.35">
      <c r="E61" s="4" t="str">
        <f ca="1">OFFSET(FinalAnalysis!P81,FinalAnalysis!$R$79,0)</f>
        <v>NLMA00712024</v>
      </c>
      <c r="F61" s="4" t="str">
        <f ca="1">OFFSET(FinalAnalysis!Q81,FinalAnalysis!$R$79,0)</f>
        <v xml:space="preserve">SUBALATHA </v>
      </c>
      <c r="G61" s="4" t="str">
        <f ca="1">OFFSET(FinalAnalysis!R81,FinalAnalysis!$R$79,0)</f>
        <v>Pending</v>
      </c>
      <c r="M61" s="4" t="str">
        <f ca="1">OFFSET(FinalAnalysis!A108,FinalAnalysis!$C$106,0)</f>
        <v>NLMA00552024</v>
      </c>
      <c r="N61" s="4" t="str">
        <f ca="1">OFFSET(FinalAnalysis!B108,FinalAnalysis!$C$106,0)</f>
        <v>EJAI SRI</v>
      </c>
      <c r="O61" s="4" t="str">
        <f ca="1">OFFSET(FinalAnalysis!C108,FinalAnalysis!$C$106,0)</f>
        <v>Pending</v>
      </c>
      <c r="V61" s="4" t="str">
        <f ca="1">OFFSET(FinalAnalysis!F108,FinalAnalysis!$H$106,0)</f>
        <v>NLMA00472024</v>
      </c>
      <c r="W61" s="4" t="str">
        <f ca="1">OFFSET(FinalAnalysis!G108,FinalAnalysis!$H$106,0)</f>
        <v>HARIHARASUDHAN</v>
      </c>
      <c r="X61" s="4" t="str">
        <f ca="1">OFFSET(FinalAnalysis!H108,FinalAnalysis!$H$106,0)</f>
        <v>Pending</v>
      </c>
    </row>
    <row r="62" spans="5:24" ht="15" x14ac:dyDescent="0.35">
      <c r="E62" s="4" t="str">
        <f ca="1">OFFSET(FinalAnalysis!P82,FinalAnalysis!$R$79,0)</f>
        <v>NLMA00922024</v>
      </c>
      <c r="F62" s="4" t="str">
        <f ca="1">OFFSET(FinalAnalysis!Q82,FinalAnalysis!$R$79,0)</f>
        <v>SHIVASRI R</v>
      </c>
      <c r="G62" s="4" t="str">
        <f ca="1">OFFSET(FinalAnalysis!R82,FinalAnalysis!$R$79,0)</f>
        <v>Pending</v>
      </c>
      <c r="M62" s="4" t="str">
        <f ca="1">OFFSET(FinalAnalysis!A109,FinalAnalysis!$C$106,0)</f>
        <v>NLMA00562024</v>
      </c>
      <c r="N62" s="4" t="str">
        <f ca="1">OFFSET(FinalAnalysis!B109,FinalAnalysis!$C$106,0)</f>
        <v>KINGSON</v>
      </c>
      <c r="O62" s="4" t="str">
        <f ca="1">OFFSET(FinalAnalysis!C109,FinalAnalysis!$C$106,0)</f>
        <v>Pending</v>
      </c>
      <c r="V62" s="4" t="str">
        <f ca="1">OFFSET(FinalAnalysis!F109,FinalAnalysis!$H$106,0)</f>
        <v>NLMA00482024</v>
      </c>
      <c r="W62" s="4" t="str">
        <f ca="1">OFFSET(FinalAnalysis!G109,FinalAnalysis!$H$106,0)</f>
        <v>DEVA RAJA SINGAM</v>
      </c>
      <c r="X62" s="4" t="str">
        <f ca="1">OFFSET(FinalAnalysis!H109,FinalAnalysis!$H$106,0)</f>
        <v>Pending</v>
      </c>
    </row>
    <row r="63" spans="5:24" ht="15" x14ac:dyDescent="0.35">
      <c r="E63" s="4" t="str">
        <f ca="1">OFFSET(FinalAnalysis!P83,FinalAnalysis!$R$79,0)</f>
        <v>NLMA00962024</v>
      </c>
      <c r="F63" s="4" t="str">
        <f ca="1">OFFSET(FinalAnalysis!Q83,FinalAnalysis!$R$79,0)</f>
        <v>HARSHAD BALAN K</v>
      </c>
      <c r="G63" s="4" t="str">
        <f ca="1">OFFSET(FinalAnalysis!R83,FinalAnalysis!$R$79,0)</f>
        <v>Paid Fully</v>
      </c>
      <c r="M63" s="4" t="str">
        <f ca="1">OFFSET(FinalAnalysis!A110,FinalAnalysis!$C$106,0)</f>
        <v>NLMA00572024</v>
      </c>
      <c r="N63" s="4" t="str">
        <f ca="1">OFFSET(FinalAnalysis!B110,FinalAnalysis!$C$106,0)</f>
        <v>SELVA ASHWIN</v>
      </c>
      <c r="O63" s="4" t="str">
        <f ca="1">OFFSET(FinalAnalysis!C110,FinalAnalysis!$C$106,0)</f>
        <v>Paid Fully</v>
      </c>
      <c r="V63" s="4" t="str">
        <f ca="1">OFFSET(FinalAnalysis!F110,FinalAnalysis!$H$106,0)</f>
        <v>NLMA00492024</v>
      </c>
      <c r="W63" s="4" t="str">
        <f ca="1">OFFSET(FinalAnalysis!G110,FinalAnalysis!$H$106,0)</f>
        <v>MARISELVAM</v>
      </c>
      <c r="X63" s="4" t="str">
        <f ca="1">OFFSET(FinalAnalysis!H110,FinalAnalysis!$H$106,0)</f>
        <v>Pending</v>
      </c>
    </row>
    <row r="64" spans="5:24" ht="15" x14ac:dyDescent="0.35">
      <c r="E64" s="4" t="str">
        <f ca="1">OFFSET(FinalAnalysis!P84,FinalAnalysis!$R$79,0)</f>
        <v>NLMA01092024</v>
      </c>
      <c r="F64" s="4" t="str">
        <f ca="1">OFFSET(FinalAnalysis!Q84,FinalAnalysis!$R$79,0)</f>
        <v xml:space="preserve">JERISH IMMANUAL </v>
      </c>
      <c r="G64" s="4" t="str">
        <f ca="1">OFFSET(FinalAnalysis!R84,FinalAnalysis!$R$79,0)</f>
        <v>Pending</v>
      </c>
      <c r="M64" s="4" t="str">
        <f ca="1">OFFSET(FinalAnalysis!A111,FinalAnalysis!$C$106,0)</f>
        <v>NLMA00582024</v>
      </c>
      <c r="N64" s="4" t="str">
        <f ca="1">OFFSET(FinalAnalysis!B111,FinalAnalysis!$C$106,0)</f>
        <v>SUBIN RAJA</v>
      </c>
      <c r="O64" s="4" t="str">
        <f ca="1">OFFSET(FinalAnalysis!C111,FinalAnalysis!$C$106,0)</f>
        <v>Pending</v>
      </c>
      <c r="V64" s="4" t="str">
        <f ca="1">OFFSET(FinalAnalysis!F111,FinalAnalysis!$H$106,0)</f>
        <v>NLMA00502024</v>
      </c>
      <c r="W64" s="4" t="str">
        <f ca="1">OFFSET(FinalAnalysis!G111,FinalAnalysis!$H$106,0)</f>
        <v>SUGIDHAN</v>
      </c>
      <c r="X64" s="4" t="str">
        <f ca="1">OFFSET(FinalAnalysis!H111,FinalAnalysis!$H$106,0)</f>
        <v>Pending</v>
      </c>
    </row>
    <row r="65" spans="5:24" ht="15" x14ac:dyDescent="0.35">
      <c r="E65" s="4" t="str">
        <f ca="1">OFFSET(FinalAnalysis!P85,FinalAnalysis!$R$79,0)</f>
        <v>NLMA01102024</v>
      </c>
      <c r="F65" s="4" t="str">
        <f ca="1">OFFSET(FinalAnalysis!Q85,FinalAnalysis!$R$79,0)</f>
        <v xml:space="preserve">MATHESH </v>
      </c>
      <c r="G65" s="4" t="str">
        <f ca="1">OFFSET(FinalAnalysis!R85,FinalAnalysis!$R$79,0)</f>
        <v>Pending</v>
      </c>
      <c r="M65" s="4" t="str">
        <f ca="1">OFFSET(FinalAnalysis!A112,FinalAnalysis!$C$106,0)</f>
        <v>NLMA00592024</v>
      </c>
      <c r="N65" s="4" t="str">
        <f ca="1">OFFSET(FinalAnalysis!B112,FinalAnalysis!$C$106,0)</f>
        <v>THIRUKUMARAN</v>
      </c>
      <c r="O65" s="4" t="str">
        <f ca="1">OFFSET(FinalAnalysis!C112,FinalAnalysis!$C$106,0)</f>
        <v>Paid Fully</v>
      </c>
      <c r="V65" s="4" t="str">
        <f ca="1">OFFSET(FinalAnalysis!F112,FinalAnalysis!$H$106,0)</f>
        <v>NLMA00512024</v>
      </c>
      <c r="W65" s="4" t="str">
        <f ca="1">OFFSET(FinalAnalysis!G112,FinalAnalysis!$H$106,0)</f>
        <v>MAHISHA</v>
      </c>
      <c r="X65" s="4" t="str">
        <f ca="1">OFFSET(FinalAnalysis!H112,FinalAnalysis!$H$106,0)</f>
        <v>Pending</v>
      </c>
    </row>
    <row r="66" spans="5:24" ht="15" x14ac:dyDescent="0.35">
      <c r="E66" s="4" t="str">
        <f ca="1">OFFSET(FinalAnalysis!P86,FinalAnalysis!$R$79,0)</f>
        <v>NLMA01112024</v>
      </c>
      <c r="F66" s="4" t="str">
        <f ca="1">OFFSET(FinalAnalysis!Q86,FinalAnalysis!$R$79,0)</f>
        <v xml:space="preserve">PERVIN RAJ </v>
      </c>
      <c r="G66" s="4" t="str">
        <f ca="1">OFFSET(FinalAnalysis!R86,FinalAnalysis!$R$79,0)</f>
        <v>Pending</v>
      </c>
      <c r="M66" s="4" t="str">
        <f ca="1">OFFSET(FinalAnalysis!A113,FinalAnalysis!$C$106,0)</f>
        <v>NLMA00602024</v>
      </c>
      <c r="N66" s="4" t="str">
        <f ca="1">OFFSET(FinalAnalysis!B113,FinalAnalysis!$C$106,0)</f>
        <v>ESAI MUTHU SELVI</v>
      </c>
      <c r="O66" s="4" t="str">
        <f ca="1">OFFSET(FinalAnalysis!C113,FinalAnalysis!$C$106,0)</f>
        <v>Pending</v>
      </c>
      <c r="V66" s="4" t="str">
        <f ca="1">OFFSET(FinalAnalysis!F113,FinalAnalysis!$H$106,0)</f>
        <v>NLMA00522024</v>
      </c>
      <c r="W66" s="4" t="str">
        <f ca="1">OFFSET(FinalAnalysis!G113,FinalAnalysis!$H$106,0)</f>
        <v>SIVA KARTHIKA</v>
      </c>
      <c r="X66" s="4" t="str">
        <f ca="1">OFFSET(FinalAnalysis!H113,FinalAnalysis!$H$106,0)</f>
        <v>Pending</v>
      </c>
    </row>
    <row r="67" spans="5:24" ht="15" x14ac:dyDescent="0.35">
      <c r="E67" s="4"/>
      <c r="F67" s="4"/>
      <c r="G67" s="4"/>
    </row>
    <row r="87" spans="5:24" x14ac:dyDescent="0.35">
      <c r="E87" s="3" t="s">
        <v>0</v>
      </c>
      <c r="F87" s="3" t="s">
        <v>1</v>
      </c>
      <c r="G87" s="3" t="s">
        <v>2</v>
      </c>
      <c r="M87" s="3" t="s">
        <v>0</v>
      </c>
      <c r="N87" s="3" t="s">
        <v>1</v>
      </c>
      <c r="O87" s="3" t="s">
        <v>2</v>
      </c>
      <c r="V87" s="3" t="s">
        <v>0</v>
      </c>
      <c r="W87" s="3" t="s">
        <v>1</v>
      </c>
      <c r="X87" s="3" t="s">
        <v>2</v>
      </c>
    </row>
    <row r="88" spans="5:24" ht="15" x14ac:dyDescent="0.35">
      <c r="E88" s="4" t="str">
        <f ca="1">OFFSET(FinalAnalysis!K108,FinalAnalysis!$M$106,0)</f>
        <v>NLMA00372024</v>
      </c>
      <c r="F88" s="4" t="str">
        <f ca="1">OFFSET(FinalAnalysis!L108,FinalAnalysis!$M$106,0)</f>
        <v>DEVA VISHNU</v>
      </c>
      <c r="G88" s="4" t="str">
        <f ca="1">OFFSET(FinalAnalysis!M108,FinalAnalysis!$M$106,0)</f>
        <v>Pending</v>
      </c>
      <c r="M88" s="4" t="str">
        <f ca="1">OFFSET(FinalAnalysis!P108,FinalAnalysis!$R$106,0)</f>
        <v>NLMA00122024</v>
      </c>
      <c r="N88" s="4" t="str">
        <f ca="1">OFFSET(FinalAnalysis!Q108,FinalAnalysis!$R$106,0)</f>
        <v>SARAN RAJ</v>
      </c>
      <c r="O88" s="4" t="str">
        <f ca="1">OFFSET(FinalAnalysis!R108,FinalAnalysis!$R$106,0)</f>
        <v>Pending</v>
      </c>
      <c r="V88" s="4" t="str">
        <f ca="1">OFFSET(FinalAnalysis!A131,FinalAnalysis!$C$129,0)</f>
        <v>NLMA00172024</v>
      </c>
      <c r="W88" s="4" t="str">
        <f ca="1">OFFSET(FinalAnalysis!B131,FinalAnalysis!$C$129,0)</f>
        <v>MUGESH M</v>
      </c>
      <c r="X88" s="4" t="str">
        <f ca="1">OFFSET(FinalAnalysis!C131,FinalAnalysis!$C$129,0)</f>
        <v>Pending</v>
      </c>
    </row>
    <row r="89" spans="5:24" ht="15" x14ac:dyDescent="0.35">
      <c r="E89" s="4" t="str">
        <f ca="1">OFFSET(FinalAnalysis!K109,FinalAnalysis!$M$106,0)</f>
        <v>NLMA00382024</v>
      </c>
      <c r="F89" s="4" t="str">
        <f ca="1">OFFSET(FinalAnalysis!L109,FinalAnalysis!$M$106,0)</f>
        <v>DHANUSH S</v>
      </c>
      <c r="G89" s="4" t="str">
        <f ca="1">OFFSET(FinalAnalysis!M109,FinalAnalysis!$M$106,0)</f>
        <v>Pending</v>
      </c>
      <c r="M89" s="4" t="str">
        <f ca="1">OFFSET(FinalAnalysis!P109,FinalAnalysis!$R$106,0)</f>
        <v>NLMA00272024</v>
      </c>
      <c r="N89" s="4" t="str">
        <f ca="1">OFFSET(FinalAnalysis!Q109,FinalAnalysis!$R$106,0)</f>
        <v>MAHESH MUTHU PANDI U</v>
      </c>
      <c r="O89" s="4" t="str">
        <f ca="1">OFFSET(FinalAnalysis!R109,FinalAnalysis!$R$106,0)</f>
        <v>Pending</v>
      </c>
      <c r="V89" s="4" t="str">
        <f ca="1">OFFSET(FinalAnalysis!A132,FinalAnalysis!$C$129,0)</f>
        <v>NLMA00182024</v>
      </c>
      <c r="W89" s="4" t="str">
        <f ca="1">OFFSET(FinalAnalysis!B132,FinalAnalysis!$C$129,0)</f>
        <v>ESAI SELVAN P</v>
      </c>
      <c r="X89" s="4" t="str">
        <f ca="1">OFFSET(FinalAnalysis!C132,FinalAnalysis!$C$129,0)</f>
        <v>Pending</v>
      </c>
    </row>
    <row r="90" spans="5:24" ht="15" x14ac:dyDescent="0.35">
      <c r="E90" s="4" t="str">
        <f ca="1">OFFSET(FinalAnalysis!K110,FinalAnalysis!$M$106,0)</f>
        <v>NLMA00392024</v>
      </c>
      <c r="F90" s="4" t="str">
        <f ca="1">OFFSET(FinalAnalysis!L110,FinalAnalysis!$M$106,0)</f>
        <v>KEITHIYON M</v>
      </c>
      <c r="G90" s="4" t="str">
        <f ca="1">OFFSET(FinalAnalysis!M110,FinalAnalysis!$M$106,0)</f>
        <v>Pending</v>
      </c>
      <c r="M90" s="4" t="str">
        <f ca="1">OFFSET(FinalAnalysis!P110,FinalAnalysis!$R$106,0)</f>
        <v>NLMA00292024</v>
      </c>
      <c r="N90" s="4" t="str">
        <f ca="1">OFFSET(FinalAnalysis!Q110,FinalAnalysis!$R$106,0)</f>
        <v>VINOTH T.S.P</v>
      </c>
      <c r="O90" s="4" t="str">
        <f ca="1">OFFSET(FinalAnalysis!R110,FinalAnalysis!$R$106,0)</f>
        <v>Pending</v>
      </c>
      <c r="V90" s="4" t="str">
        <f ca="1">OFFSET(FinalAnalysis!A133,FinalAnalysis!$C$129,0)</f>
        <v>NLMA00192024</v>
      </c>
      <c r="W90" s="4" t="str">
        <f ca="1">OFFSET(FinalAnalysis!B133,FinalAnalysis!$C$129,0)</f>
        <v>PRAVEEN KUMAR</v>
      </c>
      <c r="X90" s="4" t="str">
        <f ca="1">OFFSET(FinalAnalysis!C133,FinalAnalysis!$C$129,0)</f>
        <v>Pending</v>
      </c>
    </row>
    <row r="91" spans="5:24" ht="15" x14ac:dyDescent="0.35">
      <c r="E91" s="4" t="str">
        <f ca="1">OFFSET(FinalAnalysis!K111,FinalAnalysis!$M$106,0)</f>
        <v>NLMA00402024</v>
      </c>
      <c r="F91" s="4" t="str">
        <f ca="1">OFFSET(FinalAnalysis!L111,FinalAnalysis!$M$106,0)</f>
        <v>ASWIN M</v>
      </c>
      <c r="G91" s="4" t="str">
        <f ca="1">OFFSET(FinalAnalysis!M111,FinalAnalysis!$M$106,0)</f>
        <v>Pending</v>
      </c>
      <c r="M91" s="4" t="str">
        <f ca="1">OFFSET(FinalAnalysis!P111,FinalAnalysis!$R$106,0)</f>
        <v>NLMA00312024</v>
      </c>
      <c r="N91" s="4" t="str">
        <f ca="1">OFFSET(FinalAnalysis!Q111,FinalAnalysis!$R$106,0)</f>
        <v>DHARSHINI S</v>
      </c>
      <c r="O91" s="4" t="str">
        <f ca="1">OFFSET(FinalAnalysis!R111,FinalAnalysis!$R$106,0)</f>
        <v>Pending</v>
      </c>
      <c r="V91" s="4" t="str">
        <f ca="1">OFFSET(FinalAnalysis!A134,FinalAnalysis!$C$129,0)</f>
        <v>NLMA00212024</v>
      </c>
      <c r="W91" s="4" t="str">
        <f ca="1">OFFSET(FinalAnalysis!B134,FinalAnalysis!$C$129,0)</f>
        <v>THARKA RAJAN K</v>
      </c>
      <c r="X91" s="4" t="str">
        <f ca="1">OFFSET(FinalAnalysis!C134,FinalAnalysis!$C$129,0)</f>
        <v>Pending</v>
      </c>
    </row>
    <row r="92" spans="5:24" ht="15" x14ac:dyDescent="0.35">
      <c r="E92" s="4" t="str">
        <f ca="1">OFFSET(FinalAnalysis!K112,FinalAnalysis!$M$106,0)</f>
        <v>NLMA00412024</v>
      </c>
      <c r="F92" s="4" t="str">
        <f ca="1">OFFSET(FinalAnalysis!L112,FinalAnalysis!$M$106,0)</f>
        <v>MUTHU MARI DHANUSH P</v>
      </c>
      <c r="G92" s="4" t="str">
        <f ca="1">OFFSET(FinalAnalysis!M112,FinalAnalysis!$M$106,0)</f>
        <v>Pending</v>
      </c>
      <c r="M92" s="4" t="str">
        <f ca="1">OFFSET(FinalAnalysis!P112,FinalAnalysis!$R$106,0)</f>
        <v>NLMA00322024</v>
      </c>
      <c r="N92" s="4" t="str">
        <f ca="1">OFFSET(FinalAnalysis!Q112,FinalAnalysis!$R$106,0)</f>
        <v>JENISHA C</v>
      </c>
      <c r="O92" s="4" t="str">
        <f ca="1">OFFSET(FinalAnalysis!R112,FinalAnalysis!$R$106,0)</f>
        <v>Pending</v>
      </c>
      <c r="V92" s="4" t="str">
        <f ca="1">OFFSET(FinalAnalysis!A135,FinalAnalysis!$C$129,0)</f>
        <v>NLMA00222024</v>
      </c>
      <c r="W92" s="4" t="str">
        <f ca="1">OFFSET(FinalAnalysis!B135,FinalAnalysis!$C$129,0)</f>
        <v>ANUSHYA SELVI</v>
      </c>
      <c r="X92" s="4" t="str">
        <f ca="1">OFFSET(FinalAnalysis!C135,FinalAnalysis!$C$129,0)</f>
        <v>Pending</v>
      </c>
    </row>
    <row r="93" spans="5:24" ht="15" x14ac:dyDescent="0.35">
      <c r="E93" s="4" t="str">
        <f ca="1">OFFSET(FinalAnalysis!K113,FinalAnalysis!$M$106,0)</f>
        <v>NLMA00422024</v>
      </c>
      <c r="F93" s="4" t="str">
        <f ca="1">OFFSET(FinalAnalysis!L113,FinalAnalysis!$M$106,0)</f>
        <v>NITHISH</v>
      </c>
      <c r="G93" s="4" t="str">
        <f ca="1">OFFSET(FinalAnalysis!M113,FinalAnalysis!$M$106,0)</f>
        <v>Pending</v>
      </c>
      <c r="M93" s="4" t="str">
        <f ca="1">OFFSET(FinalAnalysis!P113,FinalAnalysis!$R$106,0)</f>
        <v>NLMA00332024</v>
      </c>
      <c r="N93" s="4" t="str">
        <f ca="1">OFFSET(FinalAnalysis!Q113,FinalAnalysis!$R$106,0)</f>
        <v>MADHU ISHA</v>
      </c>
      <c r="O93" s="4" t="str">
        <f ca="1">OFFSET(FinalAnalysis!R113,FinalAnalysis!$R$106,0)</f>
        <v>Paid Fully</v>
      </c>
      <c r="V93" s="4" t="str">
        <f ca="1">OFFSET(FinalAnalysis!A136,FinalAnalysis!$C$129,0)</f>
        <v>NLMA00232024</v>
      </c>
      <c r="W93" s="4" t="str">
        <f ca="1">OFFSET(FinalAnalysis!B136,FinalAnalysis!$C$129,0)</f>
        <v>PADMA</v>
      </c>
      <c r="X93" s="4" t="str">
        <f ca="1">OFFSET(FinalAnalysis!C136,FinalAnalysis!$C$129,0)</f>
        <v>Pending</v>
      </c>
    </row>
    <row r="99" spans="11:13" x14ac:dyDescent="0.35">
      <c r="K99" s="5"/>
      <c r="L99" s="5"/>
      <c r="M99" s="5"/>
    </row>
    <row r="100" spans="11:13" ht="15.5" x14ac:dyDescent="0.35">
      <c r="K100" s="6"/>
      <c r="L100" s="6"/>
      <c r="M100" s="6"/>
    </row>
    <row r="101" spans="11:13" ht="15.5" x14ac:dyDescent="0.35">
      <c r="K101" s="6"/>
      <c r="L101" s="6"/>
      <c r="M101" s="6"/>
    </row>
    <row r="102" spans="11:13" ht="15.5" x14ac:dyDescent="0.35">
      <c r="K102" s="6"/>
      <c r="L102" s="6"/>
      <c r="M102" s="6"/>
    </row>
    <row r="103" spans="11:13" ht="15.5" x14ac:dyDescent="0.35">
      <c r="K103" s="6"/>
      <c r="L103" s="6"/>
      <c r="M103" s="6"/>
    </row>
    <row r="104" spans="11:13" ht="15.5" x14ac:dyDescent="0.35">
      <c r="K104" s="6"/>
      <c r="L104" s="6"/>
      <c r="M104" s="6"/>
    </row>
    <row r="105" spans="11:13" ht="15.5" x14ac:dyDescent="0.35">
      <c r="K105" s="6"/>
      <c r="L105" s="6"/>
      <c r="M105" s="6"/>
    </row>
    <row r="114" spans="5:24" x14ac:dyDescent="0.35">
      <c r="E114" s="3" t="s">
        <v>0</v>
      </c>
      <c r="F114" s="3" t="s">
        <v>1</v>
      </c>
      <c r="G114" s="3" t="s">
        <v>2</v>
      </c>
      <c r="M114" s="3" t="s">
        <v>0</v>
      </c>
      <c r="N114" s="3" t="s">
        <v>1</v>
      </c>
      <c r="O114" s="3" t="s">
        <v>2</v>
      </c>
      <c r="V114" s="3" t="s">
        <v>0</v>
      </c>
      <c r="W114" s="3" t="s">
        <v>1</v>
      </c>
      <c r="X114" s="3" t="s">
        <v>2</v>
      </c>
    </row>
    <row r="115" spans="5:24" ht="15" x14ac:dyDescent="0.35">
      <c r="E115" s="4" t="str">
        <f ca="1">OFFSET(FinalAnalysis!F131,FinalAnalysis!$H$129,0)</f>
        <v>NLMA00142024</v>
      </c>
      <c r="F115" s="4" t="str">
        <f ca="1">OFFSET(FinalAnalysis!G131,FinalAnalysis!$H$129,0)</f>
        <v>MUTHU AARUMUGAM P</v>
      </c>
      <c r="G115" s="4" t="str">
        <f ca="1">OFFSET(FinalAnalysis!H131,FinalAnalysis!$H$129,0)</f>
        <v>Pending</v>
      </c>
      <c r="M115" s="4" t="str">
        <f ca="1">OFFSET(FinalAnalysis!K131,FinalAnalysis!$M$129,0)</f>
        <v>NLMA00052024</v>
      </c>
      <c r="N115" s="4" t="str">
        <f ca="1">OFFSET(FinalAnalysis!L131,FinalAnalysis!$M$129,0)</f>
        <v>AMARNATH</v>
      </c>
      <c r="O115" s="4" t="str">
        <f ca="1">OFFSET(FinalAnalysis!M131,FinalAnalysis!$M$129,0)</f>
        <v>Pending</v>
      </c>
      <c r="V115" s="4" t="str">
        <f ca="1">OFFSET(FinalAnalysis!P131,FinalAnalysis!$R$129,0)</f>
        <v>NLMA00882024</v>
      </c>
      <c r="W115" s="4" t="str">
        <f ca="1">OFFSET(FinalAnalysis!Q131,FinalAnalysis!$R$129,0)</f>
        <v>VIRUTHIMAN PONSARATHY S</v>
      </c>
      <c r="X115" s="4" t="str">
        <f ca="1">OFFSET(FinalAnalysis!R131,FinalAnalysis!$R$129,0)</f>
        <v>Pending</v>
      </c>
    </row>
    <row r="116" spans="5:24" ht="15" x14ac:dyDescent="0.35">
      <c r="E116" s="4" t="str">
        <f ca="1">OFFSET(FinalAnalysis!F132,FinalAnalysis!$H$129,0)</f>
        <v>NLMA00152024</v>
      </c>
      <c r="F116" s="4" t="str">
        <f ca="1">OFFSET(FinalAnalysis!G132,FinalAnalysis!$H$129,0)</f>
        <v>INDUJA</v>
      </c>
      <c r="G116" s="4" t="str">
        <f ca="1">OFFSET(FinalAnalysis!H132,FinalAnalysis!$H$129,0)</f>
        <v>Pending</v>
      </c>
      <c r="M116" s="4" t="str">
        <f ca="1">OFFSET(FinalAnalysis!K132,FinalAnalysis!$M$129,0)</f>
        <v>NLMA00062024</v>
      </c>
      <c r="N116" s="4" t="str">
        <f ca="1">OFFSET(FinalAnalysis!L132,FinalAnalysis!$M$129,0)</f>
        <v>AARUMUGAM</v>
      </c>
      <c r="O116" s="4" t="str">
        <f ca="1">OFFSET(FinalAnalysis!M132,FinalAnalysis!$M$129,0)</f>
        <v>Pending</v>
      </c>
      <c r="V116" s="4" t="str">
        <f ca="1">OFFSET(FinalAnalysis!P132,FinalAnalysis!$R$129,0)</f>
        <v>NLMA01062024</v>
      </c>
      <c r="W116" s="4" t="str">
        <f ca="1">OFFSET(FinalAnalysis!Q132,FinalAnalysis!$R$129,0)</f>
        <v>ESAKKI RAJ</v>
      </c>
      <c r="X116" s="4" t="str">
        <f ca="1">OFFSET(FinalAnalysis!R132,FinalAnalysis!$R$129,0)</f>
        <v>Pending</v>
      </c>
    </row>
    <row r="117" spans="5:24" ht="15" x14ac:dyDescent="0.35">
      <c r="E117" s="4" t="str">
        <f ca="1">OFFSET(FinalAnalysis!F133,FinalAnalysis!$H$129,0)</f>
        <v>NLMA00872024</v>
      </c>
      <c r="F117" s="4" t="str">
        <f ca="1">OFFSET(FinalAnalysis!G133,FinalAnalysis!$H$129,0)</f>
        <v>MUTHURAM L</v>
      </c>
      <c r="G117" s="4" t="str">
        <f ca="1">OFFSET(FinalAnalysis!H133,FinalAnalysis!$H$129,0)</f>
        <v>Paid Fully</v>
      </c>
      <c r="M117" s="4" t="str">
        <f ca="1">OFFSET(FinalAnalysis!K133,FinalAnalysis!$M$129,0)</f>
        <v>NLMA00072024</v>
      </c>
      <c r="N117" s="4" t="str">
        <f ca="1">OFFSET(FinalAnalysis!L133,FinalAnalysis!$M$129,0)</f>
        <v>KAJIRAVENDHAN</v>
      </c>
      <c r="O117" s="4" t="str">
        <f ca="1">OFFSET(FinalAnalysis!M133,FinalAnalysis!$M$129,0)</f>
        <v>Pending</v>
      </c>
      <c r="V117" s="4" t="str">
        <f ca="1">OFFSET(FinalAnalysis!P133,FinalAnalysis!$R$129,0)</f>
        <v>NLMA01072024</v>
      </c>
      <c r="W117" s="4" t="str">
        <f ca="1">OFFSET(FinalAnalysis!Q133,FinalAnalysis!$R$129,0)</f>
        <v>SRI BALAJEE</v>
      </c>
      <c r="X117" s="4" t="str">
        <f ca="1">OFFSET(FinalAnalysis!R133,FinalAnalysis!$R$129,0)</f>
        <v>Pending</v>
      </c>
    </row>
    <row r="118" spans="5:24" ht="15" x14ac:dyDescent="0.35">
      <c r="E118" s="4" t="str">
        <f ca="1">OFFSET(FinalAnalysis!F134,FinalAnalysis!$H$129,0)</f>
        <v>NLMA01342024</v>
      </c>
      <c r="F118" s="4" t="str">
        <f ca="1">OFFSET(FinalAnalysis!G134,FinalAnalysis!$H$129,0)</f>
        <v>AKANSHA</v>
      </c>
      <c r="G118" s="4" t="str">
        <f ca="1">OFFSET(FinalAnalysis!H134,FinalAnalysis!$H$129,0)</f>
        <v>No Fees Paid</v>
      </c>
      <c r="M118" s="4" t="str">
        <f ca="1">OFFSET(FinalAnalysis!K134,FinalAnalysis!$M$129,0)</f>
        <v>NLMA00082024</v>
      </c>
      <c r="N118" s="4" t="str">
        <f ca="1">OFFSET(FinalAnalysis!L134,FinalAnalysis!$M$129,0)</f>
        <v>KAVIN BALA</v>
      </c>
      <c r="O118" s="4" t="str">
        <f ca="1">OFFSET(FinalAnalysis!M134,FinalAnalysis!$M$129,0)</f>
        <v>Paid Fully</v>
      </c>
      <c r="V118" s="4" t="str">
        <f ca="1">OFFSET(FinalAnalysis!P134,FinalAnalysis!$R$129,0)</f>
        <v>NLMA01082024</v>
      </c>
      <c r="W118" s="4" t="str">
        <f ca="1">OFFSET(FinalAnalysis!Q134,FinalAnalysis!$R$129,0)</f>
        <v>HANSIKA</v>
      </c>
      <c r="X118" s="4" t="str">
        <f ca="1">OFFSET(FinalAnalysis!R134,FinalAnalysis!$R$129,0)</f>
        <v>Pending</v>
      </c>
    </row>
    <row r="119" spans="5:24" ht="15" x14ac:dyDescent="0.35">
      <c r="E119" s="4">
        <f ca="1">OFFSET(FinalAnalysis!F135,FinalAnalysis!$H$129,0)</f>
        <v>0</v>
      </c>
      <c r="F119" s="4">
        <f ca="1">OFFSET(FinalAnalysis!G135,FinalAnalysis!$H$129,0)</f>
        <v>0</v>
      </c>
      <c r="G119" s="4">
        <f ca="1">OFFSET(FinalAnalysis!H135,FinalAnalysis!$H$129,0)</f>
        <v>0</v>
      </c>
      <c r="M119" s="4" t="str">
        <f ca="1">OFFSET(FinalAnalysis!K135,FinalAnalysis!$M$129,0)</f>
        <v>NLMA00092024</v>
      </c>
      <c r="N119" s="4" t="str">
        <f ca="1">OFFSET(FinalAnalysis!L135,FinalAnalysis!$M$129,0)</f>
        <v>MARI SELVAM D</v>
      </c>
      <c r="O119" s="4" t="str">
        <f ca="1">OFFSET(FinalAnalysis!M135,FinalAnalysis!$M$129,0)</f>
        <v>Pending</v>
      </c>
      <c r="V119" s="4">
        <f ca="1">OFFSET(FinalAnalysis!P135,FinalAnalysis!$R$129,0)</f>
        <v>0</v>
      </c>
      <c r="W119" s="4">
        <f ca="1">OFFSET(FinalAnalysis!Q135,FinalAnalysis!$R$129,0)</f>
        <v>0</v>
      </c>
      <c r="X119" s="4">
        <f ca="1">OFFSET(FinalAnalysis!R135,FinalAnalysis!$R$129,0)</f>
        <v>0</v>
      </c>
    </row>
    <row r="120" spans="5:24" ht="15" x14ac:dyDescent="0.35">
      <c r="E120" s="4">
        <f ca="1">OFFSET(FinalAnalysis!F136,FinalAnalysis!$H$129,0)</f>
        <v>0</v>
      </c>
      <c r="F120" s="4">
        <f ca="1">OFFSET(FinalAnalysis!G136,FinalAnalysis!$H$129,0)</f>
        <v>0</v>
      </c>
      <c r="G120" s="4">
        <f ca="1">OFFSET(FinalAnalysis!H136,FinalAnalysis!$H$129,0)</f>
        <v>0</v>
      </c>
      <c r="M120" s="4" t="str">
        <f ca="1">OFFSET(FinalAnalysis!K136,FinalAnalysis!$M$129,0)</f>
        <v>NLMA00102024</v>
      </c>
      <c r="N120" s="4" t="str">
        <f ca="1">OFFSET(FinalAnalysis!L136,FinalAnalysis!$M$129,0)</f>
        <v>KARTHIKA P</v>
      </c>
      <c r="O120" s="4" t="str">
        <f ca="1">OFFSET(FinalAnalysis!M136,FinalAnalysis!$M$129,0)</f>
        <v>Pending</v>
      </c>
      <c r="V120" s="4">
        <f ca="1">OFFSET(FinalAnalysis!P136,FinalAnalysis!$R$129,0)</f>
        <v>0</v>
      </c>
      <c r="W120" s="4">
        <f ca="1">OFFSET(FinalAnalysis!Q136,FinalAnalysis!$R$129,0)</f>
        <v>0</v>
      </c>
      <c r="X120" s="4">
        <f ca="1">OFFSET(FinalAnalysis!R136,FinalAnalysis!$R$129,0)</f>
        <v>0</v>
      </c>
    </row>
    <row r="121" spans="5:24" ht="15" x14ac:dyDescent="0.35">
      <c r="V121" s="4"/>
    </row>
    <row r="142" spans="5:7" x14ac:dyDescent="0.35">
      <c r="E142" s="3" t="s">
        <v>0</v>
      </c>
      <c r="F142" s="3" t="s">
        <v>1</v>
      </c>
      <c r="G142" s="3" t="s">
        <v>2</v>
      </c>
    </row>
    <row r="143" spans="5:7" ht="15" x14ac:dyDescent="0.35">
      <c r="E143" s="4" t="str">
        <f ca="1">OFFSET(FinalAnalysis!A154,FinalAnalysis!$C$152,0)</f>
        <v>NLMA00022024</v>
      </c>
      <c r="F143" s="4" t="str">
        <f ca="1">OFFSET(FinalAnalysis!B154,FinalAnalysis!$C$152,0)</f>
        <v>HARINI RASIKA</v>
      </c>
      <c r="G143" s="4" t="str">
        <f ca="1">OFFSET(FinalAnalysis!C154,FinalAnalysis!$C$152,0)</f>
        <v>Pending</v>
      </c>
    </row>
    <row r="144" spans="5:7" ht="15" x14ac:dyDescent="0.35">
      <c r="E144" s="4" t="str">
        <f ca="1">OFFSET(FinalAnalysis!A155,FinalAnalysis!$C$152,0)</f>
        <v>NLMA00032024</v>
      </c>
      <c r="F144" s="4" t="str">
        <f ca="1">OFFSET(FinalAnalysis!B155,FinalAnalysis!$C$152,0)</f>
        <v>SINTHIYA</v>
      </c>
      <c r="G144" s="4" t="str">
        <f ca="1">OFFSET(FinalAnalysis!C155,FinalAnalysis!$C$152,0)</f>
        <v>Pending</v>
      </c>
    </row>
    <row r="145" spans="5:7" ht="15" x14ac:dyDescent="0.35">
      <c r="E145" s="4">
        <f ca="1">OFFSET(FinalAnalysis!A156,FinalAnalysis!$C$152,0)</f>
        <v>0</v>
      </c>
      <c r="F145" s="4">
        <f ca="1">OFFSET(FinalAnalysis!B156,FinalAnalysis!$C$152,0)</f>
        <v>0</v>
      </c>
      <c r="G145" s="4">
        <f ca="1">OFFSET(FinalAnalysis!C156,FinalAnalysis!$C$152,0)</f>
        <v>0</v>
      </c>
    </row>
    <row r="146" spans="5:7" ht="15" x14ac:dyDescent="0.35">
      <c r="E146" s="4">
        <f ca="1">OFFSET(FinalAnalysis!A157,FinalAnalysis!$C$152,0)</f>
        <v>0</v>
      </c>
      <c r="F146" s="4">
        <f ca="1">OFFSET(FinalAnalysis!B157,FinalAnalysis!$C$152,0)</f>
        <v>0</v>
      </c>
      <c r="G146" s="4">
        <f ca="1">OFFSET(FinalAnalysis!C157,FinalAnalysis!$C$152,0)</f>
        <v>0</v>
      </c>
    </row>
    <row r="147" spans="5:7" ht="15" x14ac:dyDescent="0.35">
      <c r="E147" s="4">
        <f ca="1">OFFSET(FinalAnalysis!A158,FinalAnalysis!$C$152,0)</f>
        <v>0</v>
      </c>
      <c r="F147" s="4">
        <f ca="1">OFFSET(FinalAnalysis!B158,FinalAnalysis!$C$152,0)</f>
        <v>0</v>
      </c>
      <c r="G147" s="4">
        <f ca="1">OFFSET(FinalAnalysis!C158,FinalAnalysis!$C$152,0)</f>
        <v>0</v>
      </c>
    </row>
    <row r="148" spans="5:7" ht="15" x14ac:dyDescent="0.35">
      <c r="E148" s="4">
        <f ca="1">OFFSET(FinalAnalysis!A159,FinalAnalysis!$C$152,0)</f>
        <v>0</v>
      </c>
      <c r="F148" s="4">
        <f ca="1">OFFSET(FinalAnalysis!B159,FinalAnalysis!$C$152,0)</f>
        <v>0</v>
      </c>
      <c r="G148" s="4">
        <f ca="1">OFFSET(FinalAnalysis!C159,FinalAnalysis!$C$152,0)</f>
        <v>0</v>
      </c>
    </row>
  </sheetData>
  <sheetProtection algorithmName="SHA-512" hashValue="v8+d7U/egMqBri/XiSAfA3XoMr4R09CN/3j4R0oWtLw9DDTJFj/28ra9ihCWZENof65gBXSDaRktAL6TQCsLOQ==" saltValue="xIjtaWLyf4U7+CdBNjLoKA==" spinCount="100000" sheet="1" objects="1" scenarios="1"/>
  <mergeCells count="1">
    <mergeCell ref="E32:I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defaultSize="0" autoPict="0">
                <anchor moveWithCells="1">
                  <from>
                    <xdr:col>15</xdr:col>
                    <xdr:colOff>228600</xdr:colOff>
                    <xdr:row>32</xdr:row>
                    <xdr:rowOff>31750</xdr:rowOff>
                  </from>
                  <to>
                    <xdr:col>15</xdr:col>
                    <xdr:colOff>419100</xdr:colOff>
                    <xdr:row>39</xdr:row>
                    <xdr:rowOff>44450</xdr:rowOff>
                  </to>
                </anchor>
              </controlPr>
            </control>
          </mc:Choice>
        </mc:AlternateContent>
        <mc:AlternateContent xmlns:mc="http://schemas.openxmlformats.org/markup-compatibility/2006">
          <mc:Choice Requires="x14">
            <control shapeId="8194" r:id="rId5" name="Scroll Bar 2">
              <controlPr defaultSize="0" autoPict="0">
                <anchor moveWithCells="1">
                  <from>
                    <xdr:col>24</xdr:col>
                    <xdr:colOff>254000</xdr:colOff>
                    <xdr:row>32</xdr:row>
                    <xdr:rowOff>25400</xdr:rowOff>
                  </from>
                  <to>
                    <xdr:col>24</xdr:col>
                    <xdr:colOff>425450</xdr:colOff>
                    <xdr:row>39</xdr:row>
                    <xdr:rowOff>31750</xdr:rowOff>
                  </to>
                </anchor>
              </controlPr>
            </control>
          </mc:Choice>
        </mc:AlternateContent>
        <mc:AlternateContent xmlns:mc="http://schemas.openxmlformats.org/markup-compatibility/2006">
          <mc:Choice Requires="x14">
            <control shapeId="8195" r:id="rId6" name="Scroll Bar 3">
              <controlPr defaultSize="0" autoPict="0">
                <anchor moveWithCells="1">
                  <from>
                    <xdr:col>7</xdr:col>
                    <xdr:colOff>120650</xdr:colOff>
                    <xdr:row>58</xdr:row>
                    <xdr:rowOff>127000</xdr:rowOff>
                  </from>
                  <to>
                    <xdr:col>8</xdr:col>
                    <xdr:colOff>88900</xdr:colOff>
                    <xdr:row>66</xdr:row>
                    <xdr:rowOff>50800</xdr:rowOff>
                  </to>
                </anchor>
              </controlPr>
            </control>
          </mc:Choice>
        </mc:AlternateContent>
        <mc:AlternateContent xmlns:mc="http://schemas.openxmlformats.org/markup-compatibility/2006">
          <mc:Choice Requires="x14">
            <control shapeId="8196" r:id="rId7" name="Scroll Bar 4">
              <controlPr defaultSize="0" autoPict="0">
                <anchor moveWithCells="1">
                  <from>
                    <xdr:col>15</xdr:col>
                    <xdr:colOff>177800</xdr:colOff>
                    <xdr:row>58</xdr:row>
                    <xdr:rowOff>152400</xdr:rowOff>
                  </from>
                  <to>
                    <xdr:col>15</xdr:col>
                    <xdr:colOff>374650</xdr:colOff>
                    <xdr:row>66</xdr:row>
                    <xdr:rowOff>69850</xdr:rowOff>
                  </to>
                </anchor>
              </controlPr>
            </control>
          </mc:Choice>
        </mc:AlternateContent>
        <mc:AlternateContent xmlns:mc="http://schemas.openxmlformats.org/markup-compatibility/2006">
          <mc:Choice Requires="x14">
            <control shapeId="8197" r:id="rId8" name="Scroll Bar 5">
              <controlPr defaultSize="0" autoPict="0">
                <anchor moveWithCells="1">
                  <from>
                    <xdr:col>24</xdr:col>
                    <xdr:colOff>215900</xdr:colOff>
                    <xdr:row>58</xdr:row>
                    <xdr:rowOff>133350</xdr:rowOff>
                  </from>
                  <to>
                    <xdr:col>24</xdr:col>
                    <xdr:colOff>419100</xdr:colOff>
                    <xdr:row>66</xdr:row>
                    <xdr:rowOff>31750</xdr:rowOff>
                  </to>
                </anchor>
              </controlPr>
            </control>
          </mc:Choice>
        </mc:AlternateContent>
        <mc:AlternateContent xmlns:mc="http://schemas.openxmlformats.org/markup-compatibility/2006">
          <mc:Choice Requires="x14">
            <control shapeId="8198" r:id="rId9" name="Scroll Bar 6">
              <controlPr defaultSize="0" autoPict="0">
                <anchor moveWithCells="1">
                  <from>
                    <xdr:col>7</xdr:col>
                    <xdr:colOff>146050</xdr:colOff>
                    <xdr:row>85</xdr:row>
                    <xdr:rowOff>133350</xdr:rowOff>
                  </from>
                  <to>
                    <xdr:col>8</xdr:col>
                    <xdr:colOff>107950</xdr:colOff>
                    <xdr:row>93</xdr:row>
                    <xdr:rowOff>120650</xdr:rowOff>
                  </to>
                </anchor>
              </controlPr>
            </control>
          </mc:Choice>
        </mc:AlternateContent>
        <mc:AlternateContent xmlns:mc="http://schemas.openxmlformats.org/markup-compatibility/2006">
          <mc:Choice Requires="x14">
            <control shapeId="8199" r:id="rId10" name="Scroll Bar 7">
              <controlPr defaultSize="0" autoPict="0">
                <anchor moveWithCells="1">
                  <from>
                    <xdr:col>15</xdr:col>
                    <xdr:colOff>184150</xdr:colOff>
                    <xdr:row>86</xdr:row>
                    <xdr:rowOff>44450</xdr:rowOff>
                  </from>
                  <to>
                    <xdr:col>15</xdr:col>
                    <xdr:colOff>374650</xdr:colOff>
                    <xdr:row>93</xdr:row>
                    <xdr:rowOff>107950</xdr:rowOff>
                  </to>
                </anchor>
              </controlPr>
            </control>
          </mc:Choice>
        </mc:AlternateContent>
        <mc:AlternateContent xmlns:mc="http://schemas.openxmlformats.org/markup-compatibility/2006">
          <mc:Choice Requires="x14">
            <control shapeId="8200" r:id="rId11" name="Scroll Bar 8">
              <controlPr defaultSize="0" autoPict="0">
                <anchor moveWithCells="1">
                  <from>
                    <xdr:col>24</xdr:col>
                    <xdr:colOff>228600</xdr:colOff>
                    <xdr:row>86</xdr:row>
                    <xdr:rowOff>6350</xdr:rowOff>
                  </from>
                  <to>
                    <xdr:col>24</xdr:col>
                    <xdr:colOff>412750</xdr:colOff>
                    <xdr:row>93</xdr:row>
                    <xdr:rowOff>107950</xdr:rowOff>
                  </to>
                </anchor>
              </controlPr>
            </control>
          </mc:Choice>
        </mc:AlternateContent>
        <mc:AlternateContent xmlns:mc="http://schemas.openxmlformats.org/markup-compatibility/2006">
          <mc:Choice Requires="x14">
            <control shapeId="8201" r:id="rId12" name="Scroll Bar 9">
              <controlPr defaultSize="0" autoPict="0">
                <anchor moveWithCells="1">
                  <from>
                    <xdr:col>7</xdr:col>
                    <xdr:colOff>114300</xdr:colOff>
                    <xdr:row>113</xdr:row>
                    <xdr:rowOff>19050</xdr:rowOff>
                  </from>
                  <to>
                    <xdr:col>8</xdr:col>
                    <xdr:colOff>69850</xdr:colOff>
                    <xdr:row>120</xdr:row>
                    <xdr:rowOff>120650</xdr:rowOff>
                  </to>
                </anchor>
              </controlPr>
            </control>
          </mc:Choice>
        </mc:AlternateContent>
        <mc:AlternateContent xmlns:mc="http://schemas.openxmlformats.org/markup-compatibility/2006">
          <mc:Choice Requires="x14">
            <control shapeId="8202" r:id="rId13" name="Scroll Bar 10">
              <controlPr defaultSize="0" autoPict="0">
                <anchor moveWithCells="1">
                  <from>
                    <xdr:col>15</xdr:col>
                    <xdr:colOff>190500</xdr:colOff>
                    <xdr:row>113</xdr:row>
                    <xdr:rowOff>12700</xdr:rowOff>
                  </from>
                  <to>
                    <xdr:col>15</xdr:col>
                    <xdr:colOff>387350</xdr:colOff>
                    <xdr:row>120</xdr:row>
                    <xdr:rowOff>114300</xdr:rowOff>
                  </to>
                </anchor>
              </controlPr>
            </control>
          </mc:Choice>
        </mc:AlternateContent>
        <mc:AlternateContent xmlns:mc="http://schemas.openxmlformats.org/markup-compatibility/2006">
          <mc:Choice Requires="x14">
            <control shapeId="8203" r:id="rId14" name="Scroll Bar 11">
              <controlPr defaultSize="0" autoPict="0">
                <anchor moveWithCells="1">
                  <from>
                    <xdr:col>24</xdr:col>
                    <xdr:colOff>234950</xdr:colOff>
                    <xdr:row>112</xdr:row>
                    <xdr:rowOff>165100</xdr:rowOff>
                  </from>
                  <to>
                    <xdr:col>24</xdr:col>
                    <xdr:colOff>431800</xdr:colOff>
                    <xdr:row>120</xdr:row>
                    <xdr:rowOff>82550</xdr:rowOff>
                  </to>
                </anchor>
              </controlPr>
            </control>
          </mc:Choice>
        </mc:AlternateContent>
        <mc:AlternateContent xmlns:mc="http://schemas.openxmlformats.org/markup-compatibility/2006">
          <mc:Choice Requires="x14">
            <control shapeId="8204" r:id="rId15" name="Scroll Bar 12">
              <controlPr defaultSize="0" autoPict="0">
                <anchor moveWithCells="1">
                  <from>
                    <xdr:col>7</xdr:col>
                    <xdr:colOff>152400</xdr:colOff>
                    <xdr:row>141</xdr:row>
                    <xdr:rowOff>6350</xdr:rowOff>
                  </from>
                  <to>
                    <xdr:col>8</xdr:col>
                    <xdr:colOff>114300</xdr:colOff>
                    <xdr:row>148</xdr:row>
                    <xdr:rowOff>107950</xdr:rowOff>
                  </to>
                </anchor>
              </controlPr>
            </control>
          </mc:Choice>
        </mc:AlternateContent>
        <mc:AlternateContent xmlns:mc="http://schemas.openxmlformats.org/markup-compatibility/2006">
          <mc:Choice Requires="x14">
            <control shapeId="8207" r:id="rId16" name="Scroll Bar 15">
              <controlPr defaultSize="0" autoPict="0">
                <anchor moveWithCells="1">
                  <from>
                    <xdr:col>8</xdr:col>
                    <xdr:colOff>0</xdr:colOff>
                    <xdr:row>32</xdr:row>
                    <xdr:rowOff>31750</xdr:rowOff>
                  </from>
                  <to>
                    <xdr:col>8</xdr:col>
                    <xdr:colOff>190500</xdr:colOff>
                    <xdr:row>39</xdr:row>
                    <xdr:rowOff>44450</xdr:rowOff>
                  </to>
                </anchor>
              </controlPr>
            </control>
          </mc:Choice>
        </mc:AlternateContent>
      </controls>
    </mc:Choice>
  </mc:AlternateContent>
  <extLst>
    <ext xmlns:x14="http://schemas.microsoft.com/office/spreadsheetml/2009/9/main" uri="{A8765BA9-456A-4dab-B4F3-ACF838C121DE}">
      <x14:slicerList>
        <x14:slicer r:id="rId1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E3E40-5ACD-499F-A286-1820EBA83E09}">
  <sheetPr codeName="Sheet10"/>
  <dimension ref="B27:T120"/>
  <sheetViews>
    <sheetView showGridLines="0" showRowColHeaders="0" zoomScale="58" zoomScaleNormal="58" workbookViewId="0">
      <pane ySplit="4" topLeftCell="A17" activePane="bottomLeft" state="frozen"/>
      <selection activeCell="I41" sqref="I41"/>
      <selection pane="bottomLeft"/>
    </sheetView>
  </sheetViews>
  <sheetFormatPr defaultRowHeight="14.5" x14ac:dyDescent="0.35"/>
  <cols>
    <col min="1" max="1" width="8.7265625" style="1"/>
    <col min="2" max="2" width="45.7265625" style="1" customWidth="1"/>
    <col min="3" max="3" width="21.90625" style="1" customWidth="1"/>
    <col min="4" max="4" width="19.6328125" style="1" customWidth="1"/>
    <col min="5" max="5" width="12.54296875" style="1" customWidth="1"/>
    <col min="6" max="6" width="17.453125" style="1" customWidth="1"/>
    <col min="7" max="7" width="20.6328125" style="1" bestFit="1" customWidth="1"/>
    <col min="8" max="8" width="14" style="1" customWidth="1"/>
    <col min="9" max="9" width="9.81640625" style="1" customWidth="1"/>
    <col min="10" max="10" width="9.453125" style="1" hidden="1" customWidth="1"/>
    <col min="11" max="11" width="2.7265625" style="1" customWidth="1"/>
    <col min="12" max="13" width="8.7265625" style="1"/>
    <col min="14" max="14" width="11.26953125" style="1" customWidth="1"/>
    <col min="15" max="15" width="17.90625" style="1" customWidth="1"/>
    <col min="16" max="16" width="20.6328125" style="1" customWidth="1"/>
    <col min="17" max="17" width="15" style="1" customWidth="1"/>
    <col min="18" max="18" width="7.54296875" style="1" customWidth="1"/>
    <col min="19" max="19" width="3.6328125" style="1" customWidth="1"/>
    <col min="20" max="20" width="4.26953125" style="1" customWidth="1"/>
    <col min="21" max="21" width="5" style="1" customWidth="1"/>
    <col min="22" max="16384" width="8.7265625" style="1"/>
  </cols>
  <sheetData>
    <row r="27" spans="2:20" x14ac:dyDescent="0.35">
      <c r="T27" s="2"/>
    </row>
    <row r="31" spans="2:20" ht="18.5" x14ac:dyDescent="0.45">
      <c r="B31" s="17" t="s">
        <v>100</v>
      </c>
      <c r="C31" s="17" t="s">
        <v>204</v>
      </c>
      <c r="D31" s="16"/>
      <c r="E31" s="17" t="s">
        <v>202</v>
      </c>
      <c r="F31" s="17"/>
      <c r="G31" s="17" t="s">
        <v>204</v>
      </c>
    </row>
    <row r="32" spans="2:20" x14ac:dyDescent="0.35">
      <c r="B32" s="19" t="str">
        <f ca="1">OFFSET(FinalAnalysis!A209,FinalAnalysis!$B$206,0)</f>
        <v xml:space="preserve">MELA PAPPAKUDI </v>
      </c>
      <c r="C32" s="19">
        <f ca="1">OFFSET(FinalAnalysis!B209,FinalAnalysis!$B$206,0)</f>
        <v>2</v>
      </c>
      <c r="F32" s="20" t="str">
        <f ca="1">OFFSET(FinalAnalysis!D210,FinalAnalysis!$E$207,0)</f>
        <v>HSC</v>
      </c>
      <c r="G32" s="20">
        <f ca="1">OFFSET(FinalAnalysis!E210,FinalAnalysis!$E$207,0)</f>
        <v>2</v>
      </c>
    </row>
    <row r="33" spans="2:17" x14ac:dyDescent="0.35">
      <c r="B33" s="19" t="str">
        <f ca="1">OFFSET(FinalAnalysis!A210,FinalAnalysis!$B$206,0)</f>
        <v>MELA PAPPKUDI</v>
      </c>
      <c r="C33" s="19">
        <f ca="1">OFFSET(FinalAnalysis!B210,FinalAnalysis!$B$206,0)</f>
        <v>1</v>
      </c>
      <c r="F33" s="20" t="str">
        <f ca="1">OFFSET(FinalAnalysis!D211,FinalAnalysis!$E$207,0)</f>
        <v>Not Specified</v>
      </c>
      <c r="G33" s="20">
        <f ca="1">OFFSET(FinalAnalysis!E211,FinalAnalysis!$E$207,0)</f>
        <v>119</v>
      </c>
      <c r="H33" s="3"/>
      <c r="O33" s="3"/>
      <c r="P33" s="3"/>
      <c r="Q33" s="3"/>
    </row>
    <row r="34" spans="2:17" ht="15" customHeight="1" x14ac:dyDescent="0.35">
      <c r="B34" s="19" t="str">
        <f ca="1">OFFSET(FinalAnalysis!A211,FinalAnalysis!$B$206,0)</f>
        <v>MELAPAPPAKUDI</v>
      </c>
      <c r="C34" s="19">
        <f ca="1">OFFSET(FinalAnalysis!B211,FinalAnalysis!$B$206,0)</f>
        <v>2</v>
      </c>
      <c r="F34" s="20">
        <f ca="1">OFFSET(FinalAnalysis!D212,FinalAnalysis!$E$207,0)</f>
        <v>0</v>
      </c>
      <c r="G34" s="20">
        <f ca="1">OFFSET(FinalAnalysis!E212,FinalAnalysis!$E$207,0)</f>
        <v>0</v>
      </c>
      <c r="H34" s="4"/>
      <c r="O34" s="4"/>
      <c r="P34" s="4"/>
      <c r="Q34" s="4"/>
    </row>
    <row r="35" spans="2:17" ht="15" customHeight="1" x14ac:dyDescent="0.35">
      <c r="B35" s="19" t="str">
        <f ca="1">OFFSET(FinalAnalysis!A212,FinalAnalysis!$B$206,0)</f>
        <v>MUKKUDAL</v>
      </c>
      <c r="C35" s="19">
        <f ca="1">OFFSET(FinalAnalysis!B212,FinalAnalysis!$B$206,0)</f>
        <v>8</v>
      </c>
      <c r="F35" s="20">
        <f ca="1">OFFSET(FinalAnalysis!D213,FinalAnalysis!$E$207,0)</f>
        <v>0</v>
      </c>
      <c r="G35" s="20">
        <f ca="1">OFFSET(FinalAnalysis!E213,FinalAnalysis!$E$207,0)</f>
        <v>0</v>
      </c>
      <c r="H35" s="4"/>
      <c r="O35" s="4"/>
      <c r="P35" s="4"/>
      <c r="Q35" s="4"/>
    </row>
    <row r="36" spans="2:17" ht="15" customHeight="1" x14ac:dyDescent="0.35">
      <c r="B36" s="19" t="str">
        <f ca="1">OFFSET(FinalAnalysis!A213,FinalAnalysis!$B$206,0)</f>
        <v>MYLAPURAM</v>
      </c>
      <c r="C36" s="19">
        <f ca="1">OFFSET(FinalAnalysis!B213,FinalAnalysis!$B$206,0)</f>
        <v>2</v>
      </c>
      <c r="F36" s="20">
        <f ca="1">OFFSET(FinalAnalysis!D214,FinalAnalysis!$E$207,0)</f>
        <v>0</v>
      </c>
      <c r="G36" s="20">
        <f ca="1">OFFSET(FinalAnalysis!E214,FinalAnalysis!$E$207,0)</f>
        <v>0</v>
      </c>
      <c r="H36" s="4"/>
      <c r="O36" s="4"/>
      <c r="P36" s="4"/>
      <c r="Q36" s="4"/>
    </row>
    <row r="37" spans="2:17" ht="15" customHeight="1" x14ac:dyDescent="0.35">
      <c r="B37" s="19" t="str">
        <f ca="1">OFFSET(FinalAnalysis!A214,FinalAnalysis!$B$206,0)</f>
        <v>NADHANTHATTAI</v>
      </c>
      <c r="C37" s="19">
        <f ca="1">OFFSET(FinalAnalysis!B214,FinalAnalysis!$B$206,0)</f>
        <v>3</v>
      </c>
      <c r="F37" s="4"/>
      <c r="G37" s="4"/>
      <c r="H37" s="4"/>
      <c r="O37" s="4"/>
      <c r="P37" s="4"/>
      <c r="Q37" s="4"/>
    </row>
    <row r="38" spans="2:17" ht="15" customHeight="1" x14ac:dyDescent="0.35">
      <c r="B38" s="19" t="str">
        <f ca="1">OFFSET(FinalAnalysis!A215,FinalAnalysis!$B$206,0)</f>
        <v>NANTHANTHATTAI</v>
      </c>
      <c r="C38" s="19">
        <f ca="1">OFFSET(FinalAnalysis!B215,FinalAnalysis!$B$206,0)</f>
        <v>1</v>
      </c>
      <c r="H38" s="4"/>
      <c r="O38" s="4"/>
      <c r="P38" s="4"/>
      <c r="Q38" s="4"/>
    </row>
    <row r="39" spans="2:17" ht="18.5" customHeight="1" x14ac:dyDescent="0.45">
      <c r="B39" s="19" t="str">
        <f ca="1">OFFSET(FinalAnalysis!A216,FinalAnalysis!$B$206,0)</f>
        <v>Not Specified</v>
      </c>
      <c r="C39" s="19">
        <f ca="1">OFFSET(FinalAnalysis!B216,FinalAnalysis!$B$206,0)</f>
        <v>1</v>
      </c>
      <c r="E39" s="17" t="s">
        <v>203</v>
      </c>
      <c r="F39" s="17"/>
      <c r="G39" s="17" t="s">
        <v>204</v>
      </c>
      <c r="H39" s="4"/>
      <c r="O39" s="4"/>
      <c r="P39" s="4"/>
      <c r="Q39" s="4"/>
    </row>
    <row r="40" spans="2:17" ht="15" customHeight="1" x14ac:dyDescent="0.35">
      <c r="B40" s="19" t="str">
        <f ca="1">OFFSET(FinalAnalysis!A217,FinalAnalysis!$B$206,0)</f>
        <v>O.THULUKKAPATTI</v>
      </c>
      <c r="C40" s="19">
        <f ca="1">OFFSET(FinalAnalysis!B217,FinalAnalysis!$B$206,0)</f>
        <v>1</v>
      </c>
      <c r="F40" s="20" t="str">
        <f ca="1">OFFSET(FinalAnalysis!F210,FinalAnalysis!$G$207,0)</f>
        <v>BSC MATHS BED</v>
      </c>
      <c r="G40" s="20">
        <f ca="1">OFFSET(FinalAnalysis!G210,FinalAnalysis!$G$207,0)</f>
        <v>1</v>
      </c>
      <c r="H40" s="4"/>
      <c r="O40" s="4"/>
      <c r="P40" s="4"/>
      <c r="Q40" s="4"/>
    </row>
    <row r="41" spans="2:17" x14ac:dyDescent="0.35">
      <c r="B41" s="19" t="str">
        <f ca="1">OFFSET(FinalAnalysis!A218,FinalAnalysis!$B$206,0)</f>
        <v>ODAIKARAI THULUKKAPATTI</v>
      </c>
      <c r="C41" s="19">
        <f ca="1">OFFSET(FinalAnalysis!B218,FinalAnalysis!$B$206,0)</f>
        <v>3</v>
      </c>
      <c r="F41" s="20" t="str">
        <f ca="1">OFFSET(FinalAnalysis!F211,FinalAnalysis!$G$207,0)</f>
        <v>MA BED</v>
      </c>
      <c r="G41" s="20">
        <f ca="1">OFFSET(FinalAnalysis!G211,FinalAnalysis!$G$207,0)</f>
        <v>2</v>
      </c>
    </row>
    <row r="42" spans="2:17" ht="15" customHeight="1" x14ac:dyDescent="0.35">
      <c r="F42" s="20" t="str">
        <f ca="1">OFFSET(FinalAnalysis!F212,FinalAnalysis!$G$207,0)</f>
        <v>Not Specified</v>
      </c>
      <c r="G42" s="20">
        <f ca="1">OFFSET(FinalAnalysis!G212,FinalAnalysis!$G$207,0)</f>
        <v>118</v>
      </c>
    </row>
    <row r="43" spans="2:17" x14ac:dyDescent="0.35">
      <c r="F43" s="20">
        <f ca="1">OFFSET(FinalAnalysis!F213,FinalAnalysis!$G$207,0)</f>
        <v>0</v>
      </c>
      <c r="G43" s="20">
        <f ca="1">OFFSET(FinalAnalysis!G213,FinalAnalysis!$G$207,0)</f>
        <v>0</v>
      </c>
    </row>
    <row r="44" spans="2:17" x14ac:dyDescent="0.35">
      <c r="F44" s="20">
        <f ca="1">OFFSET(FinalAnalysis!F214,FinalAnalysis!$G$207,0)</f>
        <v>0</v>
      </c>
      <c r="G44" s="20">
        <f ca="1">OFFSET(FinalAnalysis!G214,FinalAnalysis!$G$207,0)</f>
        <v>0</v>
      </c>
    </row>
    <row r="60" spans="4:17" x14ac:dyDescent="0.35">
      <c r="D60" s="3"/>
      <c r="F60" s="3"/>
      <c r="G60" s="3"/>
      <c r="H60" s="3"/>
      <c r="O60" s="3"/>
      <c r="P60" s="3"/>
      <c r="Q60" s="3"/>
    </row>
    <row r="61" spans="4:17" ht="15" x14ac:dyDescent="0.35">
      <c r="D61" s="4"/>
      <c r="F61" s="4"/>
      <c r="G61" s="4"/>
      <c r="H61" s="4"/>
      <c r="O61" s="4"/>
      <c r="P61" s="4"/>
      <c r="Q61" s="4"/>
    </row>
    <row r="62" spans="4:17" ht="15" x14ac:dyDescent="0.35">
      <c r="D62" s="4"/>
      <c r="F62" s="4"/>
      <c r="G62" s="4"/>
      <c r="H62" s="4"/>
      <c r="O62" s="4"/>
      <c r="P62" s="4"/>
      <c r="Q62" s="4"/>
    </row>
    <row r="63" spans="4:17" ht="15" x14ac:dyDescent="0.35">
      <c r="D63" s="4"/>
      <c r="F63" s="4"/>
      <c r="G63" s="4"/>
      <c r="H63" s="4"/>
      <c r="O63" s="4"/>
      <c r="P63" s="4"/>
      <c r="Q63" s="4"/>
    </row>
    <row r="64" spans="4:17" ht="15" x14ac:dyDescent="0.35">
      <c r="D64" s="4"/>
      <c r="F64" s="4"/>
      <c r="G64" s="4"/>
      <c r="H64" s="4"/>
      <c r="O64" s="4"/>
      <c r="P64" s="4"/>
      <c r="Q64" s="4"/>
    </row>
    <row r="65" spans="4:17" ht="15" x14ac:dyDescent="0.35">
      <c r="D65" s="4"/>
      <c r="F65" s="4"/>
      <c r="G65" s="4"/>
      <c r="H65" s="4"/>
      <c r="O65" s="4"/>
      <c r="P65" s="4"/>
      <c r="Q65" s="4"/>
    </row>
    <row r="66" spans="4:17" ht="15" x14ac:dyDescent="0.35">
      <c r="D66" s="4"/>
      <c r="F66" s="4"/>
      <c r="G66" s="4"/>
      <c r="H66" s="4"/>
      <c r="O66" s="4"/>
      <c r="P66" s="4"/>
      <c r="Q66" s="4"/>
    </row>
    <row r="87" spans="4:17" x14ac:dyDescent="0.35">
      <c r="D87" s="3"/>
      <c r="F87" s="3"/>
      <c r="G87" s="3"/>
      <c r="H87" s="3"/>
      <c r="O87" s="3"/>
      <c r="P87" s="3"/>
      <c r="Q87" s="3"/>
    </row>
    <row r="88" spans="4:17" ht="15" x14ac:dyDescent="0.35">
      <c r="D88" s="4"/>
      <c r="F88" s="4"/>
      <c r="G88" s="4"/>
      <c r="H88" s="4"/>
      <c r="O88" s="4"/>
      <c r="P88" s="4"/>
      <c r="Q88" s="4"/>
    </row>
    <row r="89" spans="4:17" ht="15" x14ac:dyDescent="0.35">
      <c r="D89" s="4"/>
      <c r="F89" s="4"/>
      <c r="G89" s="4"/>
      <c r="H89" s="4"/>
      <c r="O89" s="4"/>
      <c r="P89" s="4"/>
      <c r="Q89" s="4"/>
    </row>
    <row r="90" spans="4:17" ht="15" x14ac:dyDescent="0.35">
      <c r="D90" s="4"/>
      <c r="F90" s="4"/>
      <c r="G90" s="4"/>
      <c r="H90" s="4"/>
      <c r="O90" s="4"/>
      <c r="P90" s="4"/>
      <c r="Q90" s="4"/>
    </row>
    <row r="91" spans="4:17" ht="15" x14ac:dyDescent="0.35">
      <c r="D91" s="4"/>
      <c r="F91" s="4"/>
      <c r="G91" s="4"/>
      <c r="H91" s="4"/>
      <c r="O91" s="4"/>
      <c r="P91" s="4"/>
      <c r="Q91" s="4"/>
    </row>
    <row r="92" spans="4:17" ht="15" x14ac:dyDescent="0.35">
      <c r="D92" s="4"/>
      <c r="F92" s="4"/>
      <c r="G92" s="4"/>
      <c r="H92" s="4"/>
      <c r="O92" s="4"/>
      <c r="P92" s="4"/>
      <c r="Q92" s="4"/>
    </row>
    <row r="93" spans="4:17" ht="15" x14ac:dyDescent="0.35">
      <c r="D93" s="4"/>
      <c r="F93" s="4"/>
      <c r="G93" s="4"/>
      <c r="H93" s="4"/>
      <c r="O93" s="4"/>
      <c r="P93" s="4"/>
      <c r="Q93" s="4"/>
    </row>
    <row r="99" spans="5:6" x14ac:dyDescent="0.35">
      <c r="E99" s="5"/>
      <c r="F99" s="5"/>
    </row>
    <row r="100" spans="5:6" ht="15.5" x14ac:dyDescent="0.35">
      <c r="E100" s="6"/>
      <c r="F100" s="6"/>
    </row>
    <row r="101" spans="5:6" ht="15.5" x14ac:dyDescent="0.35">
      <c r="E101" s="6"/>
      <c r="F101" s="6"/>
    </row>
    <row r="102" spans="5:6" ht="15.5" x14ac:dyDescent="0.35">
      <c r="E102" s="6"/>
      <c r="F102" s="6"/>
    </row>
    <row r="103" spans="5:6" ht="15.5" x14ac:dyDescent="0.35">
      <c r="E103" s="6"/>
      <c r="F103" s="6"/>
    </row>
    <row r="104" spans="5:6" ht="15.5" x14ac:dyDescent="0.35">
      <c r="E104" s="6"/>
      <c r="F104" s="6"/>
    </row>
    <row r="105" spans="5:6" ht="15.5" x14ac:dyDescent="0.35">
      <c r="E105" s="6"/>
      <c r="F105" s="6"/>
    </row>
    <row r="114" spans="4:17" x14ac:dyDescent="0.35">
      <c r="D114" s="3"/>
      <c r="F114" s="3"/>
      <c r="G114" s="3"/>
      <c r="H114" s="3"/>
      <c r="O114" s="3"/>
      <c r="P114" s="3"/>
      <c r="Q114" s="3"/>
    </row>
    <row r="115" spans="4:17" ht="15" x14ac:dyDescent="0.35">
      <c r="D115" s="4"/>
      <c r="F115" s="4"/>
      <c r="G115" s="4"/>
      <c r="H115" s="4"/>
      <c r="O115" s="4"/>
      <c r="P115" s="4"/>
      <c r="Q115" s="4"/>
    </row>
    <row r="116" spans="4:17" ht="15" x14ac:dyDescent="0.35">
      <c r="D116" s="4"/>
      <c r="F116" s="4"/>
      <c r="G116" s="4"/>
      <c r="H116" s="4"/>
      <c r="O116" s="4"/>
      <c r="P116" s="4"/>
      <c r="Q116" s="4"/>
    </row>
    <row r="117" spans="4:17" ht="15" x14ac:dyDescent="0.35">
      <c r="D117" s="4"/>
      <c r="F117" s="4"/>
      <c r="G117" s="4"/>
      <c r="H117" s="4"/>
      <c r="O117" s="4"/>
      <c r="P117" s="4"/>
      <c r="Q117" s="4"/>
    </row>
    <row r="118" spans="4:17" ht="15" x14ac:dyDescent="0.35">
      <c r="D118" s="4"/>
      <c r="F118" s="4"/>
      <c r="G118" s="4"/>
      <c r="H118" s="4"/>
      <c r="O118" s="4"/>
      <c r="P118" s="4"/>
      <c r="Q118" s="4"/>
    </row>
    <row r="119" spans="4:17" ht="15" x14ac:dyDescent="0.35">
      <c r="D119" s="4"/>
      <c r="F119" s="4"/>
      <c r="G119" s="4"/>
      <c r="H119" s="4"/>
      <c r="O119" s="4"/>
      <c r="P119" s="4"/>
      <c r="Q119" s="4"/>
    </row>
    <row r="120" spans="4:17" ht="15" x14ac:dyDescent="0.35">
      <c r="D120" s="4"/>
      <c r="F120" s="4"/>
      <c r="G120" s="4"/>
      <c r="H120" s="4"/>
      <c r="O120" s="4"/>
      <c r="P120" s="4"/>
      <c r="Q120" s="4"/>
    </row>
  </sheetData>
  <sheetProtection algorithmName="SHA-512" hashValue="Vk9EApYGoWz+U1S7GlWjC1S2hTLEzi912IplKUSW8GsQgEcbuqYMhFM9nCJJ4ZukpoAKTU3ORiB0PmtMLrriog==" saltValue="SN0zNHGRKpFgNZRGN1pMEw=="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5" r:id="rId4" name="Scroll Bar 13">
              <controlPr defaultSize="0" autoPict="0">
                <anchor moveWithCells="1">
                  <from>
                    <xdr:col>2</xdr:col>
                    <xdr:colOff>1524000</xdr:colOff>
                    <xdr:row>30</xdr:row>
                    <xdr:rowOff>0</xdr:rowOff>
                  </from>
                  <to>
                    <xdr:col>3</xdr:col>
                    <xdr:colOff>215900</xdr:colOff>
                    <xdr:row>44</xdr:row>
                    <xdr:rowOff>76200</xdr:rowOff>
                  </to>
                </anchor>
              </controlPr>
            </control>
          </mc:Choice>
        </mc:AlternateContent>
        <mc:AlternateContent xmlns:mc="http://schemas.openxmlformats.org/markup-compatibility/2006">
          <mc:Choice Requires="x14">
            <control shapeId="3086" r:id="rId5" name="Scroll Bar 14">
              <controlPr defaultSize="0" autoPict="0">
                <anchor moveWithCells="1">
                  <from>
                    <xdr:col>6</xdr:col>
                    <xdr:colOff>1435100</xdr:colOff>
                    <xdr:row>29</xdr:row>
                    <xdr:rowOff>184150</xdr:rowOff>
                  </from>
                  <to>
                    <xdr:col>7</xdr:col>
                    <xdr:colOff>215900</xdr:colOff>
                    <xdr:row>36</xdr:row>
                    <xdr:rowOff>12700</xdr:rowOff>
                  </to>
                </anchor>
              </controlPr>
            </control>
          </mc:Choice>
        </mc:AlternateContent>
        <mc:AlternateContent xmlns:mc="http://schemas.openxmlformats.org/markup-compatibility/2006">
          <mc:Choice Requires="x14">
            <control shapeId="3087" r:id="rId6" name="Scroll Bar 15">
              <controlPr defaultSize="0" autoPict="0">
                <anchor moveWithCells="1">
                  <from>
                    <xdr:col>7</xdr:col>
                    <xdr:colOff>0</xdr:colOff>
                    <xdr:row>37</xdr:row>
                    <xdr:rowOff>184150</xdr:rowOff>
                  </from>
                  <to>
                    <xdr:col>7</xdr:col>
                    <xdr:colOff>215900</xdr:colOff>
                    <xdr:row>44</xdr:row>
                    <xdr:rowOff>88900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5E67D-09F5-4DF0-A3BA-CF9FE8093663}">
  <sheetPr codeName="Sheet1"/>
  <dimension ref="A1:U287"/>
  <sheetViews>
    <sheetView topLeftCell="A139" zoomScale="96" zoomScaleNormal="96" workbookViewId="0">
      <selection activeCell="D154" sqref="D154"/>
    </sheetView>
  </sheetViews>
  <sheetFormatPr defaultRowHeight="14.5" x14ac:dyDescent="0.35"/>
  <cols>
    <col min="1" max="1" width="27.36328125" bestFit="1" customWidth="1"/>
    <col min="2" max="2" width="17.6328125" bestFit="1" customWidth="1"/>
    <col min="3" max="3" width="17.26953125" bestFit="1" customWidth="1"/>
    <col min="4" max="4" width="20.26953125" bestFit="1" customWidth="1"/>
    <col min="5" max="5" width="15.90625" bestFit="1" customWidth="1"/>
    <col min="6" max="6" width="13.08984375" bestFit="1" customWidth="1"/>
    <col min="7" max="7" width="13" bestFit="1" customWidth="1"/>
    <col min="8" max="8" width="17.26953125" bestFit="1" customWidth="1"/>
    <col min="9" max="9" width="20.26953125" bestFit="1" customWidth="1"/>
    <col min="10" max="10" width="15" bestFit="1" customWidth="1"/>
    <col min="11" max="11" width="13.08984375" bestFit="1" customWidth="1"/>
    <col min="12" max="12" width="13" bestFit="1" customWidth="1"/>
    <col min="13" max="13" width="12.453125" bestFit="1" customWidth="1"/>
    <col min="14" max="14" width="15" bestFit="1" customWidth="1"/>
    <col min="15" max="15" width="17.26953125" bestFit="1" customWidth="1"/>
    <col min="16" max="16" width="13.08984375" bestFit="1" customWidth="1"/>
    <col min="17" max="17" width="17.81640625" bestFit="1" customWidth="1"/>
    <col min="18" max="18" width="12.453125" bestFit="1" customWidth="1"/>
    <col min="19" max="19" width="15" bestFit="1" customWidth="1"/>
    <col min="20" max="21" width="32" bestFit="1" customWidth="1"/>
  </cols>
  <sheetData>
    <row r="1" spans="1:8" x14ac:dyDescent="0.35">
      <c r="A1" s="14" t="s">
        <v>3</v>
      </c>
      <c r="B1" t="s">
        <v>188</v>
      </c>
    </row>
    <row r="3" spans="1:8" x14ac:dyDescent="0.35">
      <c r="A3" s="14" t="s">
        <v>221</v>
      </c>
      <c r="B3" t="s">
        <v>228</v>
      </c>
      <c r="C3" t="s">
        <v>224</v>
      </c>
      <c r="D3" t="s">
        <v>225</v>
      </c>
      <c r="E3" t="s">
        <v>226</v>
      </c>
      <c r="F3" t="s">
        <v>227</v>
      </c>
      <c r="G3" t="s">
        <v>229</v>
      </c>
      <c r="H3" t="s">
        <v>222</v>
      </c>
    </row>
    <row r="4" spans="1:8" x14ac:dyDescent="0.35">
      <c r="A4" s="40" t="s">
        <v>214</v>
      </c>
      <c r="B4" s="44">
        <v>36000</v>
      </c>
      <c r="C4" s="44">
        <v>0</v>
      </c>
      <c r="D4" s="44">
        <v>36000</v>
      </c>
      <c r="E4" s="44">
        <v>0</v>
      </c>
      <c r="F4" s="44">
        <v>34000</v>
      </c>
      <c r="G4" s="44">
        <v>2000</v>
      </c>
      <c r="H4" s="39">
        <v>3</v>
      </c>
    </row>
    <row r="5" spans="1:8" x14ac:dyDescent="0.35">
      <c r="A5" s="40" t="s">
        <v>14</v>
      </c>
      <c r="B5" s="44">
        <v>272000</v>
      </c>
      <c r="C5" s="44">
        <v>0</v>
      </c>
      <c r="D5" s="44">
        <v>250750</v>
      </c>
      <c r="E5" s="44">
        <v>38250</v>
      </c>
      <c r="F5" s="44">
        <v>163500</v>
      </c>
      <c r="G5" s="44">
        <v>87250</v>
      </c>
      <c r="H5" s="39">
        <v>16</v>
      </c>
    </row>
    <row r="6" spans="1:8" x14ac:dyDescent="0.35">
      <c r="A6" s="40" t="s">
        <v>15</v>
      </c>
      <c r="B6" s="44">
        <v>297500</v>
      </c>
      <c r="C6" s="44">
        <v>35000</v>
      </c>
      <c r="D6" s="44">
        <v>288750</v>
      </c>
      <c r="E6" s="44">
        <v>8750</v>
      </c>
      <c r="F6" s="44">
        <v>208625</v>
      </c>
      <c r="G6" s="44">
        <v>80125</v>
      </c>
      <c r="H6" s="39">
        <v>19</v>
      </c>
    </row>
    <row r="7" spans="1:8" x14ac:dyDescent="0.35">
      <c r="A7" s="40" t="s">
        <v>16</v>
      </c>
      <c r="B7" s="44">
        <v>273000</v>
      </c>
      <c r="C7" s="44">
        <v>19500</v>
      </c>
      <c r="D7" s="44">
        <v>263250</v>
      </c>
      <c r="E7" s="44">
        <v>9750</v>
      </c>
      <c r="F7" s="44">
        <v>216550</v>
      </c>
      <c r="G7" s="44">
        <v>46700</v>
      </c>
      <c r="H7" s="39">
        <v>15</v>
      </c>
    </row>
    <row r="8" spans="1:8" x14ac:dyDescent="0.35">
      <c r="A8" s="40" t="s">
        <v>17</v>
      </c>
      <c r="B8" s="44">
        <v>205000</v>
      </c>
      <c r="C8" s="44">
        <v>0</v>
      </c>
      <c r="D8" s="44">
        <v>205000</v>
      </c>
      <c r="E8" s="44">
        <v>0</v>
      </c>
      <c r="F8" s="44">
        <v>143600</v>
      </c>
      <c r="G8" s="44">
        <v>61400</v>
      </c>
      <c r="H8" s="39">
        <v>10</v>
      </c>
    </row>
    <row r="9" spans="1:8" x14ac:dyDescent="0.35">
      <c r="A9" s="40" t="s">
        <v>18</v>
      </c>
      <c r="B9" s="44">
        <v>225000</v>
      </c>
      <c r="C9" s="44">
        <v>0</v>
      </c>
      <c r="D9" s="44">
        <v>219375</v>
      </c>
      <c r="E9" s="44">
        <v>28125</v>
      </c>
      <c r="F9" s="44">
        <v>160000</v>
      </c>
      <c r="G9" s="44">
        <v>59375</v>
      </c>
      <c r="H9" s="39">
        <v>10</v>
      </c>
    </row>
    <row r="10" spans="1:8" x14ac:dyDescent="0.35">
      <c r="A10" s="40" t="s">
        <v>19</v>
      </c>
      <c r="B10" s="44">
        <v>258500</v>
      </c>
      <c r="C10" s="44">
        <v>0</v>
      </c>
      <c r="D10" s="44">
        <v>252625</v>
      </c>
      <c r="E10" s="44">
        <v>5875</v>
      </c>
      <c r="F10" s="44">
        <v>195000</v>
      </c>
      <c r="G10" s="44">
        <v>57625</v>
      </c>
      <c r="H10" s="39">
        <v>11</v>
      </c>
    </row>
    <row r="11" spans="1:8" x14ac:dyDescent="0.35">
      <c r="A11" s="40" t="s">
        <v>20</v>
      </c>
      <c r="B11" s="44">
        <v>171500</v>
      </c>
      <c r="C11" s="44">
        <v>24500</v>
      </c>
      <c r="D11" s="44">
        <v>171500</v>
      </c>
      <c r="E11" s="44">
        <v>24500</v>
      </c>
      <c r="F11" s="44">
        <v>129050</v>
      </c>
      <c r="G11" s="44">
        <v>42450</v>
      </c>
      <c r="H11" s="39">
        <v>8</v>
      </c>
    </row>
    <row r="12" spans="1:8" x14ac:dyDescent="0.35">
      <c r="A12" s="40" t="s">
        <v>21</v>
      </c>
      <c r="B12" s="44">
        <v>260000</v>
      </c>
      <c r="C12" s="44">
        <v>0</v>
      </c>
      <c r="D12" s="44">
        <v>253500</v>
      </c>
      <c r="E12" s="44">
        <v>6500</v>
      </c>
      <c r="F12" s="44">
        <v>180000</v>
      </c>
      <c r="G12" s="44">
        <v>73500</v>
      </c>
      <c r="H12" s="39">
        <v>10</v>
      </c>
    </row>
    <row r="13" spans="1:8" x14ac:dyDescent="0.35">
      <c r="A13" s="40" t="s">
        <v>22</v>
      </c>
      <c r="B13" s="44">
        <v>82500</v>
      </c>
      <c r="C13" s="44">
        <v>27500</v>
      </c>
      <c r="D13" s="44">
        <v>82500</v>
      </c>
      <c r="E13" s="44">
        <v>0</v>
      </c>
      <c r="F13" s="44">
        <v>64000</v>
      </c>
      <c r="G13" s="44">
        <v>18500</v>
      </c>
      <c r="H13" s="39">
        <v>4</v>
      </c>
    </row>
    <row r="14" spans="1:8" x14ac:dyDescent="0.35">
      <c r="A14" s="40" t="s">
        <v>23</v>
      </c>
      <c r="B14" s="44">
        <v>261000</v>
      </c>
      <c r="C14" s="44">
        <v>0</v>
      </c>
      <c r="D14" s="44">
        <v>261000</v>
      </c>
      <c r="E14" s="44">
        <v>0</v>
      </c>
      <c r="F14" s="44">
        <v>158600</v>
      </c>
      <c r="G14" s="44">
        <v>102400</v>
      </c>
      <c r="H14" s="39">
        <v>9</v>
      </c>
    </row>
    <row r="15" spans="1:8" x14ac:dyDescent="0.35">
      <c r="A15" s="40" t="s">
        <v>24</v>
      </c>
      <c r="B15" s="44">
        <v>126000</v>
      </c>
      <c r="C15" s="44">
        <v>0</v>
      </c>
      <c r="D15" s="44">
        <v>126000</v>
      </c>
      <c r="E15" s="44">
        <v>0</v>
      </c>
      <c r="F15" s="44">
        <v>71500</v>
      </c>
      <c r="G15" s="44">
        <v>54500</v>
      </c>
      <c r="H15" s="39">
        <v>4</v>
      </c>
    </row>
    <row r="16" spans="1:8" x14ac:dyDescent="0.35">
      <c r="A16" s="40" t="s">
        <v>25</v>
      </c>
      <c r="B16" s="44">
        <v>66000</v>
      </c>
      <c r="C16" s="44">
        <v>0</v>
      </c>
      <c r="D16" s="44">
        <v>66000</v>
      </c>
      <c r="E16" s="44">
        <v>0</v>
      </c>
      <c r="F16" s="44">
        <v>49350</v>
      </c>
      <c r="G16" s="44">
        <v>16650</v>
      </c>
      <c r="H16" s="39">
        <v>2</v>
      </c>
    </row>
    <row r="17" spans="1:11" x14ac:dyDescent="0.35">
      <c r="A17" s="40" t="s">
        <v>26</v>
      </c>
      <c r="B17" s="44">
        <v>2534000</v>
      </c>
      <c r="C17" s="44">
        <v>106500</v>
      </c>
      <c r="D17" s="44">
        <v>2476250</v>
      </c>
      <c r="E17" s="44">
        <v>121750</v>
      </c>
      <c r="F17" s="44">
        <v>1773775</v>
      </c>
      <c r="G17" s="44">
        <v>702475</v>
      </c>
      <c r="H17" s="39">
        <v>121</v>
      </c>
    </row>
    <row r="23" spans="1:11" x14ac:dyDescent="0.35">
      <c r="A23" s="14" t="s">
        <v>221</v>
      </c>
      <c r="B23" t="s">
        <v>228</v>
      </c>
      <c r="C23" t="s">
        <v>224</v>
      </c>
      <c r="D23" t="s">
        <v>225</v>
      </c>
      <c r="E23" t="s">
        <v>226</v>
      </c>
      <c r="F23" t="s">
        <v>227</v>
      </c>
      <c r="G23" t="s">
        <v>229</v>
      </c>
      <c r="H23" t="s">
        <v>222</v>
      </c>
    </row>
    <row r="24" spans="1:11" x14ac:dyDescent="0.35">
      <c r="A24" s="40" t="s">
        <v>27</v>
      </c>
      <c r="B24" s="44">
        <v>2534000</v>
      </c>
      <c r="C24" s="44">
        <v>0</v>
      </c>
      <c r="D24" s="44">
        <v>2476250</v>
      </c>
      <c r="E24" s="44">
        <v>121750</v>
      </c>
      <c r="F24" s="44">
        <v>1773775</v>
      </c>
      <c r="G24" s="44">
        <v>702475</v>
      </c>
      <c r="H24" s="39">
        <v>116</v>
      </c>
    </row>
    <row r="25" spans="1:11" x14ac:dyDescent="0.35">
      <c r="A25" s="40" t="s">
        <v>200</v>
      </c>
      <c r="B25" s="44">
        <v>0</v>
      </c>
      <c r="C25" s="44">
        <v>106500</v>
      </c>
      <c r="D25" s="44">
        <v>0</v>
      </c>
      <c r="E25" s="44">
        <v>0</v>
      </c>
      <c r="F25" s="44">
        <v>0</v>
      </c>
      <c r="G25" s="44">
        <v>0</v>
      </c>
      <c r="H25" s="39">
        <v>5</v>
      </c>
    </row>
    <row r="26" spans="1:11" x14ac:dyDescent="0.35">
      <c r="A26" s="40" t="s">
        <v>26</v>
      </c>
      <c r="B26" s="44">
        <v>2534000</v>
      </c>
      <c r="C26" s="44">
        <v>106500</v>
      </c>
      <c r="D26" s="44">
        <v>2476250</v>
      </c>
      <c r="E26" s="44">
        <v>121750</v>
      </c>
      <c r="F26" s="44">
        <v>1773775</v>
      </c>
      <c r="G26" s="44">
        <v>702475</v>
      </c>
      <c r="H26" s="39">
        <v>121</v>
      </c>
    </row>
    <row r="30" spans="1:11" x14ac:dyDescent="0.35">
      <c r="A30" s="7" t="s">
        <v>29</v>
      </c>
      <c r="B30" s="7" t="str">
        <f>B1</f>
        <v>(All)</v>
      </c>
      <c r="C30" s="7" t="str">
        <f>IF(B30="(All)","Overall",B30)</f>
        <v>Overall</v>
      </c>
      <c r="D30" s="7"/>
      <c r="F30" s="7"/>
      <c r="G30" s="7"/>
    </row>
    <row r="31" spans="1:11" x14ac:dyDescent="0.35">
      <c r="A31" s="7"/>
      <c r="B31" s="7"/>
      <c r="C31" s="7" t="s">
        <v>279</v>
      </c>
      <c r="D31" s="7" t="s">
        <v>278</v>
      </c>
      <c r="F31" s="7"/>
      <c r="G31" s="7"/>
    </row>
    <row r="32" spans="1:11" x14ac:dyDescent="0.35">
      <c r="A32" s="9" t="s">
        <v>8</v>
      </c>
      <c r="B32" t="s">
        <v>228</v>
      </c>
      <c r="C32" t="s">
        <v>224</v>
      </c>
      <c r="D32" t="s">
        <v>225</v>
      </c>
      <c r="E32" t="s">
        <v>226</v>
      </c>
      <c r="F32" t="s">
        <v>227</v>
      </c>
      <c r="G32" t="s">
        <v>229</v>
      </c>
      <c r="H32" s="8" t="s">
        <v>43</v>
      </c>
      <c r="I32" s="8" t="s">
        <v>44</v>
      </c>
      <c r="J32" s="8" t="s">
        <v>230</v>
      </c>
      <c r="K32" s="60" t="s">
        <v>251</v>
      </c>
    </row>
    <row r="33" spans="1:11" x14ac:dyDescent="0.35">
      <c r="A33" t="s">
        <v>214</v>
      </c>
      <c r="B33" s="10">
        <f>B4</f>
        <v>36000</v>
      </c>
      <c r="C33" s="10">
        <f t="shared" ref="C33:G33" si="0">C4</f>
        <v>0</v>
      </c>
      <c r="D33" s="10">
        <f t="shared" si="0"/>
        <v>36000</v>
      </c>
      <c r="E33" s="10">
        <f t="shared" si="0"/>
        <v>0</v>
      </c>
      <c r="F33" s="10">
        <f t="shared" si="0"/>
        <v>34000</v>
      </c>
      <c r="G33" s="10">
        <f t="shared" si="0"/>
        <v>2000</v>
      </c>
      <c r="H33" s="41">
        <f>IFERROR(GETPIVOTDATA("Gender",$I$209,"Old Class","PRE-KG","Gender","Male"),0)</f>
        <v>3</v>
      </c>
      <c r="I33" s="41">
        <f>IFERROR(GETPIVOTDATA("Gender",$I$209,"Old Class","PRE-KG","Gender","Female"),0)</f>
        <v>0</v>
      </c>
      <c r="J33" s="41">
        <f>H33+I33</f>
        <v>3</v>
      </c>
      <c r="K33" s="61">
        <f t="shared" ref="K33:K45" si="1">D33+C33</f>
        <v>36000</v>
      </c>
    </row>
    <row r="34" spans="1:11" x14ac:dyDescent="0.35">
      <c r="A34" t="s">
        <v>14</v>
      </c>
      <c r="B34" s="10">
        <f t="shared" ref="B34:G45" si="2">B5</f>
        <v>272000</v>
      </c>
      <c r="C34" s="10">
        <f t="shared" si="2"/>
        <v>0</v>
      </c>
      <c r="D34" s="10">
        <f t="shared" si="2"/>
        <v>250750</v>
      </c>
      <c r="E34" s="10">
        <f t="shared" si="2"/>
        <v>38250</v>
      </c>
      <c r="F34" s="10">
        <f t="shared" si="2"/>
        <v>163500</v>
      </c>
      <c r="G34" s="10">
        <f t="shared" si="2"/>
        <v>87250</v>
      </c>
      <c r="H34" s="41">
        <f>IFERROR(GETPIVOTDATA("Gender",$I$209,"Old Class","LKG","Gender","Male"),0)</f>
        <v>8</v>
      </c>
      <c r="I34" s="41">
        <f>IFERROR(GETPIVOTDATA("Gender",$I$209,"Old Class","LKG","Gender","Female"),0)</f>
        <v>8</v>
      </c>
      <c r="J34" s="41">
        <f t="shared" ref="J34:J45" si="3">H34+I34</f>
        <v>16</v>
      </c>
      <c r="K34" s="61">
        <f t="shared" si="1"/>
        <v>250750</v>
      </c>
    </row>
    <row r="35" spans="1:11" x14ac:dyDescent="0.35">
      <c r="A35" t="s">
        <v>15</v>
      </c>
      <c r="B35" s="10">
        <f t="shared" si="2"/>
        <v>297500</v>
      </c>
      <c r="C35" s="10">
        <f t="shared" si="2"/>
        <v>35000</v>
      </c>
      <c r="D35" s="10">
        <f t="shared" si="2"/>
        <v>288750</v>
      </c>
      <c r="E35" s="10">
        <f t="shared" si="2"/>
        <v>8750</v>
      </c>
      <c r="F35" s="10">
        <f t="shared" si="2"/>
        <v>208625</v>
      </c>
      <c r="G35" s="10">
        <f t="shared" si="2"/>
        <v>80125</v>
      </c>
      <c r="H35" s="41">
        <f>IFERROR(GETPIVOTDATA("Gender",$I$209,"Old Class","UKG","Gender","Male"),0)</f>
        <v>8</v>
      </c>
      <c r="I35" s="41">
        <f>IFERROR(GETPIVOTDATA("Gender",$I$209,"Old Class","UKG","Gender","Female"),0)</f>
        <v>11</v>
      </c>
      <c r="J35" s="41">
        <f t="shared" si="3"/>
        <v>19</v>
      </c>
      <c r="K35" s="61">
        <f t="shared" si="1"/>
        <v>323750</v>
      </c>
    </row>
    <row r="36" spans="1:11" x14ac:dyDescent="0.35">
      <c r="A36" t="s">
        <v>16</v>
      </c>
      <c r="B36" s="10">
        <f t="shared" si="2"/>
        <v>273000</v>
      </c>
      <c r="C36" s="10">
        <f t="shared" si="2"/>
        <v>19500</v>
      </c>
      <c r="D36" s="10">
        <f t="shared" si="2"/>
        <v>263250</v>
      </c>
      <c r="E36" s="10">
        <f t="shared" si="2"/>
        <v>9750</v>
      </c>
      <c r="F36" s="10">
        <f t="shared" si="2"/>
        <v>216550</v>
      </c>
      <c r="G36" s="10">
        <f t="shared" si="2"/>
        <v>46700</v>
      </c>
      <c r="H36" s="41">
        <f>IFERROR(GETPIVOTDATA("Gender",$I$209,"Old Class","I","Gender","Male"),0)</f>
        <v>7</v>
      </c>
      <c r="I36" s="41">
        <f>IFERROR(GETPIVOTDATA("Gender",$I$209,"Old Class","I","Gender","Female"),0)</f>
        <v>8</v>
      </c>
      <c r="J36" s="41">
        <f t="shared" si="3"/>
        <v>15</v>
      </c>
      <c r="K36" s="61">
        <f t="shared" si="1"/>
        <v>282750</v>
      </c>
    </row>
    <row r="37" spans="1:11" x14ac:dyDescent="0.35">
      <c r="A37" t="s">
        <v>17</v>
      </c>
      <c r="B37" s="10">
        <f t="shared" si="2"/>
        <v>205000</v>
      </c>
      <c r="C37" s="10">
        <f t="shared" si="2"/>
        <v>0</v>
      </c>
      <c r="D37" s="10">
        <f t="shared" si="2"/>
        <v>205000</v>
      </c>
      <c r="E37" s="10">
        <f t="shared" si="2"/>
        <v>0</v>
      </c>
      <c r="F37" s="10">
        <f t="shared" si="2"/>
        <v>143600</v>
      </c>
      <c r="G37" s="10">
        <f t="shared" si="2"/>
        <v>61400</v>
      </c>
      <c r="H37" s="41">
        <f>IFERROR(GETPIVOTDATA("Gender",$I$209,"Old Class","II","Gender","Male"),0)</f>
        <v>8</v>
      </c>
      <c r="I37" s="41">
        <f>IFERROR(GETPIVOTDATA("Gender",$I$209,"Old Class","II","Gender","Female"),0)</f>
        <v>2</v>
      </c>
      <c r="J37" s="41">
        <f t="shared" si="3"/>
        <v>10</v>
      </c>
      <c r="K37" s="61">
        <f t="shared" si="1"/>
        <v>205000</v>
      </c>
    </row>
    <row r="38" spans="1:11" x14ac:dyDescent="0.35">
      <c r="A38" t="s">
        <v>18</v>
      </c>
      <c r="B38" s="10">
        <f t="shared" si="2"/>
        <v>225000</v>
      </c>
      <c r="C38" s="10">
        <f t="shared" si="2"/>
        <v>0</v>
      </c>
      <c r="D38" s="10">
        <f t="shared" si="2"/>
        <v>219375</v>
      </c>
      <c r="E38" s="10">
        <f t="shared" si="2"/>
        <v>28125</v>
      </c>
      <c r="F38" s="10">
        <f t="shared" si="2"/>
        <v>160000</v>
      </c>
      <c r="G38" s="10">
        <f t="shared" si="2"/>
        <v>59375</v>
      </c>
      <c r="H38" s="41">
        <f>IFERROR(GETPIVOTDATA("Gender",$I$209,"Old Class","III","Gender","Male"),0)</f>
        <v>4</v>
      </c>
      <c r="I38" s="41">
        <f>IFERROR(GETPIVOTDATA("Gender",$I$209,"Old Class","III","Gender","Female"),0)</f>
        <v>6</v>
      </c>
      <c r="J38" s="41">
        <f t="shared" si="3"/>
        <v>10</v>
      </c>
      <c r="K38" s="61">
        <f t="shared" si="1"/>
        <v>219375</v>
      </c>
    </row>
    <row r="39" spans="1:11" x14ac:dyDescent="0.35">
      <c r="A39" t="s">
        <v>19</v>
      </c>
      <c r="B39" s="10">
        <f t="shared" si="2"/>
        <v>258500</v>
      </c>
      <c r="C39" s="10">
        <f t="shared" si="2"/>
        <v>0</v>
      </c>
      <c r="D39" s="10">
        <f t="shared" si="2"/>
        <v>252625</v>
      </c>
      <c r="E39" s="10">
        <f t="shared" si="2"/>
        <v>5875</v>
      </c>
      <c r="F39" s="10">
        <f t="shared" si="2"/>
        <v>195000</v>
      </c>
      <c r="G39" s="10">
        <f t="shared" si="2"/>
        <v>57625</v>
      </c>
      <c r="H39" s="41">
        <f>IFERROR(GETPIVOTDATA("Gender",$I$209,"Old Class","IV","Gender","Male"),0)</f>
        <v>8</v>
      </c>
      <c r="I39" s="41">
        <f>IFERROR(GETPIVOTDATA("Gender",$I$209,"Old Class","IV","Gender","Female"),0)</f>
        <v>3</v>
      </c>
      <c r="J39" s="41">
        <f t="shared" si="3"/>
        <v>11</v>
      </c>
      <c r="K39" s="61">
        <f t="shared" si="1"/>
        <v>252625</v>
      </c>
    </row>
    <row r="40" spans="1:11" x14ac:dyDescent="0.35">
      <c r="A40" t="s">
        <v>20</v>
      </c>
      <c r="B40" s="10">
        <f t="shared" si="2"/>
        <v>171500</v>
      </c>
      <c r="C40" s="10">
        <f t="shared" si="2"/>
        <v>24500</v>
      </c>
      <c r="D40" s="10">
        <f t="shared" si="2"/>
        <v>171500</v>
      </c>
      <c r="E40" s="10">
        <f t="shared" si="2"/>
        <v>24500</v>
      </c>
      <c r="F40" s="10">
        <f t="shared" si="2"/>
        <v>129050</v>
      </c>
      <c r="G40" s="10">
        <f t="shared" si="2"/>
        <v>42450</v>
      </c>
      <c r="H40" s="41">
        <f>IFERROR(GETPIVOTDATA("Gender",$I$209,"Old Class","V","Gender","Male"),0)</f>
        <v>2</v>
      </c>
      <c r="I40" s="41">
        <f>IFERROR(GETPIVOTDATA("Gender",$I$209,"Old Class","V","Gender","Female"),0)</f>
        <v>6</v>
      </c>
      <c r="J40" s="41">
        <f t="shared" si="3"/>
        <v>8</v>
      </c>
      <c r="K40" s="61">
        <f t="shared" si="1"/>
        <v>196000</v>
      </c>
    </row>
    <row r="41" spans="1:11" x14ac:dyDescent="0.35">
      <c r="A41" t="s">
        <v>21</v>
      </c>
      <c r="B41" s="10">
        <f t="shared" si="2"/>
        <v>260000</v>
      </c>
      <c r="C41" s="10">
        <f t="shared" si="2"/>
        <v>0</v>
      </c>
      <c r="D41" s="10">
        <f t="shared" si="2"/>
        <v>253500</v>
      </c>
      <c r="E41" s="10">
        <f t="shared" si="2"/>
        <v>6500</v>
      </c>
      <c r="F41" s="10">
        <f t="shared" si="2"/>
        <v>180000</v>
      </c>
      <c r="G41" s="10">
        <f t="shared" si="2"/>
        <v>73500</v>
      </c>
      <c r="H41" s="41">
        <f>IFERROR(GETPIVOTDATA("Gender",$I$209,"Old Class","VI","Gender","Male"),0)</f>
        <v>2</v>
      </c>
      <c r="I41" s="41">
        <f>IFERROR(GETPIVOTDATA("Gender",$I$209,"Old Class","VI","Gender","Female"),0)</f>
        <v>8</v>
      </c>
      <c r="J41" s="41">
        <f t="shared" si="3"/>
        <v>10</v>
      </c>
      <c r="K41" s="61">
        <f t="shared" si="1"/>
        <v>253500</v>
      </c>
    </row>
    <row r="42" spans="1:11" x14ac:dyDescent="0.35">
      <c r="A42" t="s">
        <v>22</v>
      </c>
      <c r="B42" s="10">
        <f t="shared" si="2"/>
        <v>82500</v>
      </c>
      <c r="C42" s="10">
        <f t="shared" si="2"/>
        <v>27500</v>
      </c>
      <c r="D42" s="10">
        <f t="shared" si="2"/>
        <v>82500</v>
      </c>
      <c r="E42" s="10">
        <f t="shared" si="2"/>
        <v>0</v>
      </c>
      <c r="F42" s="10">
        <f t="shared" si="2"/>
        <v>64000</v>
      </c>
      <c r="G42" s="10">
        <f t="shared" si="2"/>
        <v>18500</v>
      </c>
      <c r="H42" s="41">
        <f>IFERROR(GETPIVOTDATA("Gender",$I$209,"Old Class","VII","Gender","Male"),0)</f>
        <v>1</v>
      </c>
      <c r="I42" s="41">
        <f>IFERROR(GETPIVOTDATA("Gender",$I$209,"Old Class","VII","Gender","Female"),0)</f>
        <v>3</v>
      </c>
      <c r="J42" s="41">
        <f t="shared" si="3"/>
        <v>4</v>
      </c>
      <c r="K42" s="61">
        <f t="shared" si="1"/>
        <v>110000</v>
      </c>
    </row>
    <row r="43" spans="1:11" x14ac:dyDescent="0.35">
      <c r="A43" t="s">
        <v>23</v>
      </c>
      <c r="B43" s="10">
        <f t="shared" si="2"/>
        <v>261000</v>
      </c>
      <c r="C43" s="10">
        <f t="shared" si="2"/>
        <v>0</v>
      </c>
      <c r="D43" s="10">
        <f t="shared" si="2"/>
        <v>261000</v>
      </c>
      <c r="E43" s="10">
        <f t="shared" si="2"/>
        <v>0</v>
      </c>
      <c r="F43" s="10">
        <f t="shared" si="2"/>
        <v>158600</v>
      </c>
      <c r="G43" s="10">
        <f t="shared" si="2"/>
        <v>102400</v>
      </c>
      <c r="H43" s="41">
        <f>IFERROR(GETPIVOTDATA("Gender",$I$209,"Old Class","VIII","Gender","Male"),0)</f>
        <v>6</v>
      </c>
      <c r="I43" s="41">
        <f>IFERROR(GETPIVOTDATA("Gender",$I$209,"Old Class","VIII","Gender","Female"),0)</f>
        <v>3</v>
      </c>
      <c r="J43" s="41">
        <f t="shared" si="3"/>
        <v>9</v>
      </c>
      <c r="K43" s="61">
        <f t="shared" si="1"/>
        <v>261000</v>
      </c>
    </row>
    <row r="44" spans="1:11" x14ac:dyDescent="0.35">
      <c r="A44" t="s">
        <v>24</v>
      </c>
      <c r="B44" s="10">
        <f t="shared" si="2"/>
        <v>126000</v>
      </c>
      <c r="C44" s="10">
        <f t="shared" si="2"/>
        <v>0</v>
      </c>
      <c r="D44" s="10">
        <f t="shared" si="2"/>
        <v>126000</v>
      </c>
      <c r="E44" s="10">
        <f t="shared" si="2"/>
        <v>0</v>
      </c>
      <c r="F44" s="10">
        <f t="shared" si="2"/>
        <v>71500</v>
      </c>
      <c r="G44" s="10">
        <f t="shared" si="2"/>
        <v>54500</v>
      </c>
      <c r="H44" s="41">
        <f>IFERROR(GETPIVOTDATA("Gender",$I$209,"Old Class","IX","Gender","Male"),0)</f>
        <v>3</v>
      </c>
      <c r="I44" s="41">
        <f>IFERROR(GETPIVOTDATA("Gender",$I$209,"Old Class","IX","Gender","Female"),0)</f>
        <v>1</v>
      </c>
      <c r="J44" s="41">
        <f t="shared" si="3"/>
        <v>4</v>
      </c>
      <c r="K44" s="61">
        <f t="shared" si="1"/>
        <v>126000</v>
      </c>
    </row>
    <row r="45" spans="1:11" x14ac:dyDescent="0.35">
      <c r="A45" t="s">
        <v>25</v>
      </c>
      <c r="B45" s="10">
        <f t="shared" si="2"/>
        <v>66000</v>
      </c>
      <c r="C45" s="10">
        <f t="shared" si="2"/>
        <v>0</v>
      </c>
      <c r="D45" s="10">
        <f t="shared" si="2"/>
        <v>66000</v>
      </c>
      <c r="E45" s="10">
        <f t="shared" si="2"/>
        <v>0</v>
      </c>
      <c r="F45" s="10">
        <f t="shared" si="2"/>
        <v>49350</v>
      </c>
      <c r="G45" s="10">
        <f t="shared" si="2"/>
        <v>16650</v>
      </c>
      <c r="H45" s="41">
        <f>IFERROR(GETPIVOTDATA("Gender",$I$209,"Old Class","X","Gender","Male"),0)</f>
        <v>0</v>
      </c>
      <c r="I45" s="41">
        <f>IFERROR(GETPIVOTDATA("Gender",$I$209,"Old Class","X","Gender","Female"),0)</f>
        <v>2</v>
      </c>
      <c r="J45" s="41">
        <f t="shared" si="3"/>
        <v>2</v>
      </c>
      <c r="K45" s="61">
        <f t="shared" si="1"/>
        <v>66000</v>
      </c>
    </row>
    <row r="46" spans="1:11" x14ac:dyDescent="0.35">
      <c r="A46" s="7"/>
      <c r="B46" s="10">
        <f>SUM(Table66846[ Annual_Fee_Amount])</f>
        <v>2534000</v>
      </c>
      <c r="C46" s="10">
        <f>SUM(Table66846[Missing_Fees])</f>
        <v>106500</v>
      </c>
      <c r="D46" s="10">
        <f>SUBTOTAL(109,Table66846[ Discounted_Fee])</f>
        <v>2476250</v>
      </c>
      <c r="E46" s="42">
        <f>SUM(Table66846[Amount_Reduced])</f>
        <v>121750</v>
      </c>
      <c r="F46" s="42">
        <f>SUM(Table66846[Paid_Fees])</f>
        <v>1773775</v>
      </c>
      <c r="G46" s="42">
        <f>SUM(Table66846[] Table66846[ Pending_Fees] )</f>
        <v>702475</v>
      </c>
      <c r="H46" s="11">
        <f>SUM(Table66846[Boys])</f>
        <v>60</v>
      </c>
      <c r="I46" s="11">
        <f>SUM(Table66846[Girls])</f>
        <v>61</v>
      </c>
      <c r="J46" s="11">
        <f>SUM(Table66846[Strength])</f>
        <v>121</v>
      </c>
      <c r="K46" s="62">
        <f>SUM(Table66846[Fee Estimate])</f>
        <v>2582750</v>
      </c>
    </row>
    <row r="52" spans="1:20" ht="42.5" x14ac:dyDescent="0.35">
      <c r="A52" s="12" t="s">
        <v>86</v>
      </c>
      <c r="B52" s="13">
        <f>GETPIVOTDATA("Missing_Fees",$A$23)</f>
        <v>106500</v>
      </c>
    </row>
    <row r="57" spans="1:20" x14ac:dyDescent="0.35">
      <c r="A57" s="14" t="s">
        <v>3</v>
      </c>
      <c r="B57" t="s">
        <v>188</v>
      </c>
      <c r="F57" s="14" t="s">
        <v>3</v>
      </c>
      <c r="G57" t="s">
        <v>188</v>
      </c>
      <c r="K57" s="14" t="s">
        <v>3</v>
      </c>
      <c r="L57" t="s">
        <v>188</v>
      </c>
      <c r="P57" s="14" t="s">
        <v>3</v>
      </c>
      <c r="Q57" t="s">
        <v>188</v>
      </c>
    </row>
    <row r="58" spans="1:20" x14ac:dyDescent="0.35">
      <c r="A58" t="s">
        <v>4</v>
      </c>
      <c r="F58" t="s">
        <v>5</v>
      </c>
      <c r="K58" t="s">
        <v>6</v>
      </c>
      <c r="P58" t="s">
        <v>7</v>
      </c>
    </row>
    <row r="59" spans="1:20" x14ac:dyDescent="0.35">
      <c r="A59" s="14" t="s">
        <v>8</v>
      </c>
      <c r="B59" t="s">
        <v>232</v>
      </c>
      <c r="C59" t="s">
        <v>233</v>
      </c>
      <c r="D59" t="s">
        <v>234</v>
      </c>
      <c r="F59" s="14" t="s">
        <v>8</v>
      </c>
      <c r="G59" t="s">
        <v>238</v>
      </c>
      <c r="H59" t="s">
        <v>239</v>
      </c>
      <c r="I59" t="s">
        <v>240</v>
      </c>
      <c r="J59" s="14"/>
      <c r="K59" s="14" t="s">
        <v>8</v>
      </c>
      <c r="L59" t="s">
        <v>235</v>
      </c>
      <c r="M59" t="s">
        <v>236</v>
      </c>
      <c r="N59" t="s">
        <v>237</v>
      </c>
      <c r="P59" s="14" t="s">
        <v>8</v>
      </c>
      <c r="Q59" t="s">
        <v>241</v>
      </c>
      <c r="R59" t="s">
        <v>10</v>
      </c>
      <c r="S59" t="s">
        <v>242</v>
      </c>
      <c r="T59" t="s">
        <v>243</v>
      </c>
    </row>
    <row r="60" spans="1:20" x14ac:dyDescent="0.35">
      <c r="A60" s="40" t="s">
        <v>214</v>
      </c>
      <c r="B60" s="44">
        <v>15000</v>
      </c>
      <c r="C60" s="44">
        <v>5000</v>
      </c>
      <c r="D60" s="44">
        <v>0</v>
      </c>
      <c r="F60" s="40" t="s">
        <v>214</v>
      </c>
      <c r="G60" s="44">
        <v>15000</v>
      </c>
      <c r="H60" s="44">
        <v>5000</v>
      </c>
      <c r="I60" s="44">
        <v>0</v>
      </c>
      <c r="K60" s="40" t="s">
        <v>214</v>
      </c>
      <c r="L60" s="44">
        <v>6000</v>
      </c>
      <c r="M60" s="44">
        <v>0</v>
      </c>
      <c r="N60" s="44">
        <v>0</v>
      </c>
      <c r="P60" s="40" t="s">
        <v>214</v>
      </c>
      <c r="Q60" s="44">
        <v>24000</v>
      </c>
      <c r="R60" s="44">
        <v>0</v>
      </c>
      <c r="S60" s="44">
        <v>24000</v>
      </c>
      <c r="T60" s="44">
        <v>0</v>
      </c>
    </row>
    <row r="61" spans="1:20" x14ac:dyDescent="0.35">
      <c r="A61" s="40" t="s">
        <v>14</v>
      </c>
      <c r="B61" s="44">
        <v>112000</v>
      </c>
      <c r="C61" s="44">
        <v>80000</v>
      </c>
      <c r="D61" s="44">
        <v>11000</v>
      </c>
      <c r="F61" s="40" t="s">
        <v>14</v>
      </c>
      <c r="G61" s="44">
        <v>80000</v>
      </c>
      <c r="H61" s="44">
        <v>34000</v>
      </c>
      <c r="I61" s="44">
        <v>-4000</v>
      </c>
      <c r="K61" s="40" t="s">
        <v>14</v>
      </c>
      <c r="L61" s="44">
        <v>80000</v>
      </c>
      <c r="M61" s="44">
        <v>10000</v>
      </c>
      <c r="N61" s="44">
        <v>0</v>
      </c>
      <c r="P61" s="40" t="s">
        <v>14</v>
      </c>
      <c r="Q61" s="44">
        <v>0</v>
      </c>
      <c r="R61" s="44">
        <v>39500</v>
      </c>
      <c r="S61" s="44">
        <v>39500</v>
      </c>
      <c r="T61" s="44">
        <v>113500</v>
      </c>
    </row>
    <row r="62" spans="1:20" x14ac:dyDescent="0.35">
      <c r="A62" s="40" t="s">
        <v>15</v>
      </c>
      <c r="B62" s="44">
        <v>127500</v>
      </c>
      <c r="C62" s="44">
        <v>115625</v>
      </c>
      <c r="D62" s="44">
        <v>-3125</v>
      </c>
      <c r="F62" s="40" t="s">
        <v>15</v>
      </c>
      <c r="G62" s="44">
        <v>85000</v>
      </c>
      <c r="H62" s="44">
        <v>20000</v>
      </c>
      <c r="I62" s="44">
        <v>-5000</v>
      </c>
      <c r="K62" s="40" t="s">
        <v>15</v>
      </c>
      <c r="L62" s="44">
        <v>85000</v>
      </c>
      <c r="M62" s="44">
        <v>11000</v>
      </c>
      <c r="N62" s="44">
        <v>-1000</v>
      </c>
      <c r="P62" s="40" t="s">
        <v>15</v>
      </c>
      <c r="Q62" s="44">
        <v>12000</v>
      </c>
      <c r="R62" s="44">
        <v>50000</v>
      </c>
      <c r="S62" s="44">
        <v>62000</v>
      </c>
      <c r="T62" s="44">
        <v>113000</v>
      </c>
    </row>
    <row r="63" spans="1:20" x14ac:dyDescent="0.35">
      <c r="A63" s="40" t="s">
        <v>16</v>
      </c>
      <c r="B63" s="44">
        <v>133000</v>
      </c>
      <c r="C63" s="44">
        <v>115500</v>
      </c>
      <c r="D63" s="44">
        <v>17500</v>
      </c>
      <c r="F63" s="40" t="s">
        <v>16</v>
      </c>
      <c r="G63" s="44">
        <v>70000</v>
      </c>
      <c r="H63" s="44">
        <v>64550</v>
      </c>
      <c r="I63" s="44">
        <v>-14550</v>
      </c>
      <c r="K63" s="40" t="s">
        <v>16</v>
      </c>
      <c r="L63" s="44">
        <v>70000</v>
      </c>
      <c r="M63" s="44">
        <v>10000</v>
      </c>
      <c r="N63" s="44">
        <v>0</v>
      </c>
      <c r="P63" s="40" t="s">
        <v>16</v>
      </c>
      <c r="Q63" s="44">
        <v>0</v>
      </c>
      <c r="R63" s="44">
        <v>26500</v>
      </c>
      <c r="S63" s="44">
        <v>26500</v>
      </c>
      <c r="T63" s="44">
        <v>51500</v>
      </c>
    </row>
    <row r="64" spans="1:20" x14ac:dyDescent="0.35">
      <c r="A64" s="40" t="s">
        <v>17</v>
      </c>
      <c r="B64" s="44">
        <v>70000</v>
      </c>
      <c r="C64" s="44">
        <v>85500</v>
      </c>
      <c r="D64" s="44">
        <v>-22500</v>
      </c>
      <c r="F64" s="40" t="s">
        <v>17</v>
      </c>
      <c r="G64" s="44">
        <v>70000</v>
      </c>
      <c r="H64" s="44">
        <v>22000</v>
      </c>
      <c r="I64" s="44">
        <v>13000</v>
      </c>
      <c r="K64" s="40" t="s">
        <v>17</v>
      </c>
      <c r="L64" s="44">
        <v>65000</v>
      </c>
      <c r="M64" s="44">
        <v>10000</v>
      </c>
      <c r="N64" s="44">
        <v>3000</v>
      </c>
      <c r="P64" s="40" t="s">
        <v>17</v>
      </c>
      <c r="Q64" s="44">
        <v>0</v>
      </c>
      <c r="R64" s="44">
        <v>26100</v>
      </c>
      <c r="S64" s="44">
        <v>26100</v>
      </c>
      <c r="T64" s="44">
        <v>76400</v>
      </c>
    </row>
    <row r="65" spans="1:21" x14ac:dyDescent="0.35">
      <c r="A65" s="40" t="s">
        <v>18</v>
      </c>
      <c r="B65" s="44">
        <v>75000</v>
      </c>
      <c r="C65" s="44">
        <v>91000</v>
      </c>
      <c r="D65" s="44">
        <v>-31000</v>
      </c>
      <c r="F65" s="40" t="s">
        <v>18</v>
      </c>
      <c r="G65" s="44">
        <v>75000</v>
      </c>
      <c r="H65" s="44">
        <v>20500</v>
      </c>
      <c r="I65" s="44">
        <v>9500</v>
      </c>
      <c r="K65" s="40" t="s">
        <v>18</v>
      </c>
      <c r="L65" s="44">
        <v>75000</v>
      </c>
      <c r="M65" s="44">
        <v>12000</v>
      </c>
      <c r="N65" s="44">
        <v>3000</v>
      </c>
      <c r="P65" s="40" t="s">
        <v>18</v>
      </c>
      <c r="Q65" s="44">
        <v>0</v>
      </c>
      <c r="R65" s="44">
        <v>36500</v>
      </c>
      <c r="S65" s="44">
        <v>36500</v>
      </c>
      <c r="T65" s="44">
        <v>121000</v>
      </c>
    </row>
    <row r="66" spans="1:21" x14ac:dyDescent="0.35">
      <c r="A66" s="40" t="s">
        <v>19</v>
      </c>
      <c r="B66" s="44">
        <v>88000</v>
      </c>
      <c r="C66" s="44">
        <v>117000</v>
      </c>
      <c r="D66" s="44">
        <v>-29000</v>
      </c>
      <c r="F66" s="40" t="s">
        <v>19</v>
      </c>
      <c r="G66" s="44">
        <v>88000</v>
      </c>
      <c r="H66" s="44">
        <v>10500</v>
      </c>
      <c r="I66" s="44">
        <v>5500</v>
      </c>
      <c r="K66" s="40" t="s">
        <v>19</v>
      </c>
      <c r="L66" s="44">
        <v>82500</v>
      </c>
      <c r="M66" s="44">
        <v>5500</v>
      </c>
      <c r="N66" s="44">
        <v>2000</v>
      </c>
      <c r="P66" s="40" t="s">
        <v>19</v>
      </c>
      <c r="Q66" s="44">
        <v>0</v>
      </c>
      <c r="R66" s="44">
        <v>62000</v>
      </c>
      <c r="S66" s="44">
        <v>62000</v>
      </c>
      <c r="T66" s="44">
        <v>149500</v>
      </c>
    </row>
    <row r="67" spans="1:21" x14ac:dyDescent="0.35">
      <c r="A67" s="40" t="s">
        <v>20</v>
      </c>
      <c r="B67" s="44">
        <v>59500</v>
      </c>
      <c r="C67" s="44">
        <v>50000</v>
      </c>
      <c r="D67" s="44">
        <v>-7500</v>
      </c>
      <c r="F67" s="40" t="s">
        <v>20</v>
      </c>
      <c r="G67" s="44">
        <v>56000</v>
      </c>
      <c r="H67" s="44">
        <v>10500</v>
      </c>
      <c r="I67" s="44">
        <v>5500</v>
      </c>
      <c r="K67" s="40" t="s">
        <v>20</v>
      </c>
      <c r="L67" s="44">
        <v>56000</v>
      </c>
      <c r="M67" s="44">
        <v>5500</v>
      </c>
      <c r="N67" s="44">
        <v>2500</v>
      </c>
      <c r="P67" s="40" t="s">
        <v>20</v>
      </c>
      <c r="Q67" s="44">
        <v>22050</v>
      </c>
      <c r="R67" s="44">
        <v>41000</v>
      </c>
      <c r="S67" s="44">
        <v>63050</v>
      </c>
      <c r="T67" s="44">
        <v>83950</v>
      </c>
    </row>
    <row r="68" spans="1:21" x14ac:dyDescent="0.35">
      <c r="A68" s="40" t="s">
        <v>21</v>
      </c>
      <c r="B68" s="44">
        <v>100000</v>
      </c>
      <c r="C68" s="44">
        <v>78500</v>
      </c>
      <c r="D68" s="44">
        <v>1500</v>
      </c>
      <c r="F68" s="40" t="s">
        <v>21</v>
      </c>
      <c r="G68" s="44">
        <v>100000</v>
      </c>
      <c r="H68" s="44">
        <v>10000</v>
      </c>
      <c r="I68" s="44">
        <v>10000</v>
      </c>
      <c r="K68" s="40" t="s">
        <v>21</v>
      </c>
      <c r="L68" s="44">
        <v>60000</v>
      </c>
      <c r="M68" s="44">
        <v>11500</v>
      </c>
      <c r="N68" s="44">
        <v>500</v>
      </c>
      <c r="P68" s="40" t="s">
        <v>21</v>
      </c>
      <c r="Q68" s="44">
        <v>21000</v>
      </c>
      <c r="R68" s="44">
        <v>59000</v>
      </c>
      <c r="S68" s="44">
        <v>80000</v>
      </c>
      <c r="T68" s="44">
        <v>102000</v>
      </c>
    </row>
    <row r="69" spans="1:21" x14ac:dyDescent="0.35">
      <c r="A69" s="40" t="s">
        <v>22</v>
      </c>
      <c r="B69" s="44">
        <v>30000</v>
      </c>
      <c r="C69" s="44">
        <v>46000</v>
      </c>
      <c r="D69" s="44">
        <v>-16000</v>
      </c>
      <c r="F69" s="40" t="s">
        <v>22</v>
      </c>
      <c r="G69" s="44">
        <v>30000</v>
      </c>
      <c r="H69" s="44">
        <v>12000</v>
      </c>
      <c r="I69" s="44">
        <v>8000</v>
      </c>
      <c r="K69" s="40" t="s">
        <v>22</v>
      </c>
      <c r="L69" s="44">
        <v>22500</v>
      </c>
      <c r="M69" s="44">
        <v>6000</v>
      </c>
      <c r="N69" s="44">
        <v>1500</v>
      </c>
      <c r="P69" s="40" t="s">
        <v>22</v>
      </c>
      <c r="Q69" s="44">
        <v>0</v>
      </c>
      <c r="R69" s="44">
        <v>0</v>
      </c>
      <c r="S69" s="44">
        <v>0</v>
      </c>
      <c r="T69" s="44">
        <v>0</v>
      </c>
    </row>
    <row r="70" spans="1:21" x14ac:dyDescent="0.35">
      <c r="A70" s="40" t="s">
        <v>23</v>
      </c>
      <c r="B70" s="44">
        <v>90000</v>
      </c>
      <c r="C70" s="44">
        <v>112000</v>
      </c>
      <c r="D70" s="44">
        <v>-32000</v>
      </c>
      <c r="F70" s="40" t="s">
        <v>23</v>
      </c>
      <c r="G70" s="44">
        <v>90000</v>
      </c>
      <c r="H70" s="44">
        <v>11500</v>
      </c>
      <c r="I70" s="44">
        <v>8500</v>
      </c>
      <c r="K70" s="40" t="s">
        <v>23</v>
      </c>
      <c r="L70" s="44">
        <v>81000</v>
      </c>
      <c r="M70" s="44">
        <v>6500</v>
      </c>
      <c r="N70" s="44">
        <v>2500</v>
      </c>
      <c r="P70" s="40" t="s">
        <v>23</v>
      </c>
      <c r="Q70" s="44">
        <v>0</v>
      </c>
      <c r="R70" s="44">
        <v>28600</v>
      </c>
      <c r="S70" s="44">
        <v>28600</v>
      </c>
      <c r="T70" s="44">
        <v>116400</v>
      </c>
    </row>
    <row r="71" spans="1:21" x14ac:dyDescent="0.35">
      <c r="A71" s="40" t="s">
        <v>24</v>
      </c>
      <c r="B71" s="44">
        <v>46000</v>
      </c>
      <c r="C71" s="44">
        <v>61000</v>
      </c>
      <c r="D71" s="44">
        <v>-15000</v>
      </c>
      <c r="F71" s="40" t="s">
        <v>24</v>
      </c>
      <c r="G71" s="44">
        <v>40000</v>
      </c>
      <c r="H71" s="44">
        <v>0</v>
      </c>
      <c r="I71" s="44">
        <v>0</v>
      </c>
      <c r="K71" s="40" t="s">
        <v>24</v>
      </c>
      <c r="L71" s="44">
        <v>40000</v>
      </c>
      <c r="M71" s="44">
        <v>0</v>
      </c>
      <c r="N71" s="44">
        <v>0</v>
      </c>
      <c r="P71" s="40" t="s">
        <v>24</v>
      </c>
      <c r="Q71" s="44">
        <v>0</v>
      </c>
      <c r="R71" s="44">
        <v>10500</v>
      </c>
      <c r="S71" s="44">
        <v>10500</v>
      </c>
      <c r="T71" s="44">
        <v>21000</v>
      </c>
    </row>
    <row r="72" spans="1:21" x14ac:dyDescent="0.35">
      <c r="A72" s="40" t="s">
        <v>25</v>
      </c>
      <c r="B72" s="44">
        <v>26000</v>
      </c>
      <c r="C72" s="44">
        <v>18000</v>
      </c>
      <c r="D72" s="44">
        <v>-5000</v>
      </c>
      <c r="F72" s="40" t="s">
        <v>25</v>
      </c>
      <c r="G72" s="44">
        <v>20000</v>
      </c>
      <c r="H72" s="44">
        <v>0</v>
      </c>
      <c r="I72" s="44">
        <v>0</v>
      </c>
      <c r="K72" s="40" t="s">
        <v>25</v>
      </c>
      <c r="L72" s="44">
        <v>20000</v>
      </c>
      <c r="M72" s="44">
        <v>0</v>
      </c>
      <c r="N72" s="44">
        <v>0</v>
      </c>
      <c r="P72" s="40" t="s">
        <v>25</v>
      </c>
      <c r="Q72" s="44">
        <v>31350</v>
      </c>
      <c r="R72" s="44">
        <v>0</v>
      </c>
      <c r="S72" s="44">
        <v>31350</v>
      </c>
      <c r="T72" s="44">
        <v>1650</v>
      </c>
    </row>
    <row r="73" spans="1:21" x14ac:dyDescent="0.35">
      <c r="A73" s="40" t="s">
        <v>26</v>
      </c>
      <c r="B73" s="44">
        <v>972000</v>
      </c>
      <c r="C73" s="44">
        <v>975125</v>
      </c>
      <c r="D73" s="44">
        <v>-131125</v>
      </c>
      <c r="F73" s="40" t="s">
        <v>26</v>
      </c>
      <c r="G73" s="44">
        <v>819000</v>
      </c>
      <c r="H73" s="44">
        <v>220550</v>
      </c>
      <c r="I73" s="44">
        <v>36450</v>
      </c>
      <c r="K73" s="40" t="s">
        <v>26</v>
      </c>
      <c r="L73" s="44">
        <v>743000</v>
      </c>
      <c r="M73" s="44">
        <v>88000</v>
      </c>
      <c r="N73" s="44">
        <v>14000</v>
      </c>
      <c r="P73" s="40" t="s">
        <v>26</v>
      </c>
      <c r="Q73" s="44">
        <v>110400</v>
      </c>
      <c r="R73" s="44">
        <v>379700</v>
      </c>
      <c r="S73" s="44">
        <v>490100</v>
      </c>
      <c r="T73" s="44">
        <v>949900</v>
      </c>
      <c r="U73" s="44"/>
    </row>
    <row r="78" spans="1:21" x14ac:dyDescent="0.35">
      <c r="A78" s="14" t="s">
        <v>3</v>
      </c>
      <c r="B78" t="s">
        <v>188</v>
      </c>
      <c r="C78" t="s">
        <v>201</v>
      </c>
      <c r="F78" s="14" t="s">
        <v>3</v>
      </c>
      <c r="G78" t="s">
        <v>188</v>
      </c>
      <c r="H78" t="s">
        <v>201</v>
      </c>
      <c r="K78" s="14" t="s">
        <v>3</v>
      </c>
      <c r="L78" t="s">
        <v>188</v>
      </c>
      <c r="M78" t="s">
        <v>201</v>
      </c>
      <c r="P78" s="14" t="s">
        <v>3</v>
      </c>
      <c r="Q78" t="s">
        <v>188</v>
      </c>
      <c r="R78" t="s">
        <v>201</v>
      </c>
    </row>
    <row r="79" spans="1:21" x14ac:dyDescent="0.35">
      <c r="A79" s="14" t="s">
        <v>9</v>
      </c>
      <c r="B79" t="s">
        <v>214</v>
      </c>
      <c r="C79">
        <v>1</v>
      </c>
      <c r="F79" s="14" t="s">
        <v>9</v>
      </c>
      <c r="G79" t="s">
        <v>14</v>
      </c>
      <c r="H79">
        <v>1</v>
      </c>
      <c r="K79" s="14" t="s">
        <v>9</v>
      </c>
      <c r="L79" t="s">
        <v>15</v>
      </c>
      <c r="M79">
        <v>11</v>
      </c>
      <c r="P79" s="14" t="s">
        <v>9</v>
      </c>
      <c r="Q79" t="s">
        <v>16</v>
      </c>
      <c r="R79">
        <v>1</v>
      </c>
    </row>
    <row r="81" spans="1:20" x14ac:dyDescent="0.35">
      <c r="A81" s="14" t="s">
        <v>0</v>
      </c>
      <c r="B81" s="14" t="s">
        <v>1</v>
      </c>
      <c r="C81" s="14" t="s">
        <v>2</v>
      </c>
      <c r="D81" t="s">
        <v>223</v>
      </c>
      <c r="E81" s="14"/>
      <c r="F81" s="14" t="s">
        <v>0</v>
      </c>
      <c r="G81" s="14" t="s">
        <v>1</v>
      </c>
      <c r="H81" s="14" t="s">
        <v>2</v>
      </c>
      <c r="I81" t="s">
        <v>223</v>
      </c>
      <c r="J81" s="14"/>
      <c r="K81" s="14" t="s">
        <v>0</v>
      </c>
      <c r="L81" s="14" t="s">
        <v>1</v>
      </c>
      <c r="M81" s="14" t="s">
        <v>2</v>
      </c>
      <c r="N81" t="s">
        <v>223</v>
      </c>
      <c r="O81" s="14"/>
      <c r="P81" s="14" t="s">
        <v>0</v>
      </c>
      <c r="Q81" s="14" t="s">
        <v>1</v>
      </c>
      <c r="R81" s="14" t="s">
        <v>2</v>
      </c>
      <c r="S81" t="s">
        <v>223</v>
      </c>
      <c r="T81" s="14"/>
    </row>
    <row r="82" spans="1:20" x14ac:dyDescent="0.35">
      <c r="A82" t="s">
        <v>215</v>
      </c>
      <c r="B82" t="s">
        <v>216</v>
      </c>
      <c r="C82" t="s">
        <v>249</v>
      </c>
      <c r="D82" s="39">
        <v>12000</v>
      </c>
      <c r="F82" t="s">
        <v>30</v>
      </c>
      <c r="G82" t="s">
        <v>31</v>
      </c>
      <c r="H82" t="s">
        <v>249</v>
      </c>
      <c r="I82" s="39">
        <v>17000</v>
      </c>
      <c r="K82" t="s">
        <v>33</v>
      </c>
      <c r="L82" t="s">
        <v>34</v>
      </c>
      <c r="M82" t="s">
        <v>32</v>
      </c>
      <c r="N82" s="39">
        <v>17500</v>
      </c>
      <c r="P82" t="s">
        <v>285</v>
      </c>
      <c r="Q82" t="s">
        <v>286</v>
      </c>
      <c r="R82" t="s">
        <v>32</v>
      </c>
      <c r="S82" s="39">
        <v>14500</v>
      </c>
    </row>
    <row r="83" spans="1:20" x14ac:dyDescent="0.35">
      <c r="A83" t="s">
        <v>217</v>
      </c>
      <c r="B83" t="s">
        <v>218</v>
      </c>
      <c r="C83" t="s">
        <v>32</v>
      </c>
      <c r="D83" s="39">
        <v>10000</v>
      </c>
      <c r="F83" t="s">
        <v>37</v>
      </c>
      <c r="G83" t="s">
        <v>38</v>
      </c>
      <c r="H83" t="s">
        <v>32</v>
      </c>
      <c r="I83" s="39">
        <v>10000</v>
      </c>
      <c r="K83" t="s">
        <v>170</v>
      </c>
      <c r="L83" t="s">
        <v>171</v>
      </c>
      <c r="M83" t="s">
        <v>32</v>
      </c>
      <c r="N83" s="39">
        <v>13000</v>
      </c>
      <c r="P83" t="s">
        <v>287</v>
      </c>
      <c r="Q83" t="s">
        <v>288</v>
      </c>
      <c r="R83" t="s">
        <v>32</v>
      </c>
      <c r="S83" s="39">
        <v>15500</v>
      </c>
    </row>
    <row r="84" spans="1:20" x14ac:dyDescent="0.35">
      <c r="A84" t="s">
        <v>219</v>
      </c>
      <c r="B84" t="s">
        <v>220</v>
      </c>
      <c r="C84" t="s">
        <v>249</v>
      </c>
      <c r="D84" s="39">
        <v>12000</v>
      </c>
      <c r="F84" t="s">
        <v>45</v>
      </c>
      <c r="G84" t="s">
        <v>46</v>
      </c>
      <c r="H84" t="s">
        <v>32</v>
      </c>
      <c r="I84" s="39">
        <v>9000</v>
      </c>
      <c r="K84" t="s">
        <v>133</v>
      </c>
      <c r="L84" t="s">
        <v>134</v>
      </c>
      <c r="M84" t="s">
        <v>32</v>
      </c>
      <c r="N84" s="39">
        <v>17500</v>
      </c>
      <c r="P84" t="s">
        <v>289</v>
      </c>
      <c r="Q84" t="s">
        <v>290</v>
      </c>
      <c r="R84" t="s">
        <v>249</v>
      </c>
      <c r="S84" s="39">
        <v>19500</v>
      </c>
    </row>
    <row r="85" spans="1:20" x14ac:dyDescent="0.35">
      <c r="F85" t="s">
        <v>52</v>
      </c>
      <c r="G85" t="s">
        <v>53</v>
      </c>
      <c r="H85" t="s">
        <v>32</v>
      </c>
      <c r="I85" s="39">
        <v>10000</v>
      </c>
      <c r="K85" t="s">
        <v>39</v>
      </c>
      <c r="L85" t="s">
        <v>40</v>
      </c>
      <c r="M85" t="s">
        <v>32</v>
      </c>
      <c r="N85" s="39">
        <v>12500</v>
      </c>
      <c r="P85" t="s">
        <v>178</v>
      </c>
      <c r="Q85" t="s">
        <v>179</v>
      </c>
      <c r="R85" t="s">
        <v>32</v>
      </c>
      <c r="S85" s="39">
        <v>12000</v>
      </c>
    </row>
    <row r="86" spans="1:20" x14ac:dyDescent="0.35">
      <c r="F86" t="s">
        <v>58</v>
      </c>
      <c r="G86" t="s">
        <v>59</v>
      </c>
      <c r="H86" t="s">
        <v>249</v>
      </c>
      <c r="I86" s="39">
        <v>17000</v>
      </c>
      <c r="K86" t="s">
        <v>47</v>
      </c>
      <c r="L86" t="s">
        <v>48</v>
      </c>
      <c r="M86" t="s">
        <v>32</v>
      </c>
      <c r="N86" s="39">
        <v>10000</v>
      </c>
      <c r="P86" t="s">
        <v>291</v>
      </c>
      <c r="Q86" t="s">
        <v>292</v>
      </c>
      <c r="R86" t="s">
        <v>32</v>
      </c>
      <c r="S86" s="39">
        <v>19000</v>
      </c>
    </row>
    <row r="87" spans="1:20" x14ac:dyDescent="0.35">
      <c r="F87" t="s">
        <v>64</v>
      </c>
      <c r="G87" t="s">
        <v>65</v>
      </c>
      <c r="H87" t="s">
        <v>32</v>
      </c>
      <c r="I87" s="39">
        <v>7500</v>
      </c>
      <c r="K87" t="s">
        <v>136</v>
      </c>
      <c r="L87" t="s">
        <v>137</v>
      </c>
      <c r="M87" t="s">
        <v>32</v>
      </c>
      <c r="N87" s="39">
        <v>15500</v>
      </c>
      <c r="P87" t="s">
        <v>293</v>
      </c>
      <c r="Q87" t="s">
        <v>294</v>
      </c>
      <c r="R87" t="s">
        <v>32</v>
      </c>
      <c r="S87" s="39">
        <v>16050</v>
      </c>
    </row>
    <row r="88" spans="1:20" x14ac:dyDescent="0.35">
      <c r="F88" t="s">
        <v>142</v>
      </c>
      <c r="G88" t="s">
        <v>143</v>
      </c>
      <c r="H88" t="s">
        <v>32</v>
      </c>
      <c r="I88" s="39">
        <v>8000</v>
      </c>
      <c r="K88" t="s">
        <v>172</v>
      </c>
      <c r="L88" t="s">
        <v>173</v>
      </c>
      <c r="M88" t="s">
        <v>32</v>
      </c>
      <c r="N88" s="39">
        <v>3000</v>
      </c>
      <c r="P88" t="s">
        <v>295</v>
      </c>
      <c r="Q88" t="s">
        <v>296</v>
      </c>
      <c r="R88" t="s">
        <v>32</v>
      </c>
      <c r="S88" s="39">
        <v>12000</v>
      </c>
    </row>
    <row r="89" spans="1:20" x14ac:dyDescent="0.35">
      <c r="F89" t="s">
        <v>70</v>
      </c>
      <c r="G89" t="s">
        <v>71</v>
      </c>
      <c r="H89" t="s">
        <v>32</v>
      </c>
      <c r="I89" s="39">
        <v>15000</v>
      </c>
      <c r="K89" t="s">
        <v>54</v>
      </c>
      <c r="L89" t="s">
        <v>55</v>
      </c>
      <c r="M89" t="s">
        <v>249</v>
      </c>
      <c r="N89" s="39">
        <v>17500</v>
      </c>
      <c r="P89" t="s">
        <v>180</v>
      </c>
      <c r="Q89" t="s">
        <v>181</v>
      </c>
      <c r="R89" t="s">
        <v>32</v>
      </c>
      <c r="S89" s="39">
        <v>10000</v>
      </c>
    </row>
    <row r="90" spans="1:20" x14ac:dyDescent="0.35">
      <c r="F90" t="s">
        <v>144</v>
      </c>
      <c r="G90" t="s">
        <v>145</v>
      </c>
      <c r="H90" t="s">
        <v>32</v>
      </c>
      <c r="I90" s="39">
        <v>17000</v>
      </c>
      <c r="K90" t="s">
        <v>60</v>
      </c>
      <c r="L90" t="s">
        <v>61</v>
      </c>
      <c r="M90" t="s">
        <v>32</v>
      </c>
      <c r="N90" s="39">
        <v>14500</v>
      </c>
      <c r="P90" t="s">
        <v>182</v>
      </c>
      <c r="Q90" t="s">
        <v>183</v>
      </c>
      <c r="R90" t="s">
        <v>32</v>
      </c>
      <c r="S90" s="39">
        <v>12000</v>
      </c>
    </row>
    <row r="91" spans="1:20" x14ac:dyDescent="0.35">
      <c r="F91" t="s">
        <v>74</v>
      </c>
      <c r="G91" t="s">
        <v>75</v>
      </c>
      <c r="H91" t="s">
        <v>249</v>
      </c>
      <c r="I91" s="39">
        <v>17000</v>
      </c>
      <c r="K91" t="s">
        <v>66</v>
      </c>
      <c r="L91" t="s">
        <v>67</v>
      </c>
      <c r="M91" t="s">
        <v>32</v>
      </c>
      <c r="N91" s="39">
        <v>16625</v>
      </c>
      <c r="P91" t="s">
        <v>189</v>
      </c>
      <c r="Q91" t="s">
        <v>190</v>
      </c>
      <c r="R91" t="s">
        <v>32</v>
      </c>
      <c r="S91" s="39">
        <v>19500</v>
      </c>
    </row>
    <row r="92" spans="1:20" x14ac:dyDescent="0.35">
      <c r="F92" t="s">
        <v>174</v>
      </c>
      <c r="G92" t="s">
        <v>175</v>
      </c>
      <c r="H92" t="s">
        <v>249</v>
      </c>
      <c r="I92" s="39">
        <v>0</v>
      </c>
      <c r="K92" t="s">
        <v>247</v>
      </c>
      <c r="L92" t="s">
        <v>248</v>
      </c>
      <c r="M92" t="s">
        <v>249</v>
      </c>
      <c r="N92" s="39">
        <v>17500</v>
      </c>
      <c r="P92" t="s">
        <v>297</v>
      </c>
      <c r="Q92" t="s">
        <v>298</v>
      </c>
      <c r="R92" t="s">
        <v>32</v>
      </c>
      <c r="S92" s="39">
        <v>16000</v>
      </c>
    </row>
    <row r="93" spans="1:20" x14ac:dyDescent="0.35">
      <c r="F93" t="s">
        <v>76</v>
      </c>
      <c r="G93" t="s">
        <v>77</v>
      </c>
      <c r="H93" t="s">
        <v>32</v>
      </c>
      <c r="I93" s="39">
        <v>9000</v>
      </c>
      <c r="K93" t="s">
        <v>78</v>
      </c>
      <c r="L93" t="s">
        <v>79</v>
      </c>
      <c r="M93" t="s">
        <v>32</v>
      </c>
      <c r="N93" s="39">
        <v>9000</v>
      </c>
      <c r="P93" t="s">
        <v>299</v>
      </c>
      <c r="Q93" t="s">
        <v>300</v>
      </c>
      <c r="R93" t="s">
        <v>32</v>
      </c>
      <c r="S93" s="39">
        <v>15000</v>
      </c>
    </row>
    <row r="94" spans="1:20" x14ac:dyDescent="0.35">
      <c r="F94" t="s">
        <v>80</v>
      </c>
      <c r="G94" t="s">
        <v>81</v>
      </c>
      <c r="H94" t="s">
        <v>32</v>
      </c>
      <c r="I94" s="39">
        <v>5000</v>
      </c>
      <c r="K94" t="s">
        <v>82</v>
      </c>
      <c r="L94" t="s">
        <v>83</v>
      </c>
      <c r="M94" t="s">
        <v>32</v>
      </c>
      <c r="N94" s="39">
        <v>7500</v>
      </c>
      <c r="P94" t="s">
        <v>301</v>
      </c>
      <c r="Q94" t="s">
        <v>302</v>
      </c>
      <c r="R94" t="s">
        <v>32</v>
      </c>
      <c r="S94" s="39">
        <v>16000</v>
      </c>
    </row>
    <row r="95" spans="1:20" x14ac:dyDescent="0.35">
      <c r="F95" t="s">
        <v>84</v>
      </c>
      <c r="G95" t="s">
        <v>85</v>
      </c>
      <c r="H95" t="s">
        <v>32</v>
      </c>
      <c r="I95" s="39">
        <v>17000</v>
      </c>
      <c r="K95" t="s">
        <v>146</v>
      </c>
      <c r="L95" t="s">
        <v>147</v>
      </c>
      <c r="M95" t="s">
        <v>32</v>
      </c>
      <c r="N95" s="39">
        <v>12500</v>
      </c>
      <c r="P95" t="s">
        <v>303</v>
      </c>
      <c r="Q95" t="s">
        <v>304</v>
      </c>
      <c r="R95" t="s">
        <v>249</v>
      </c>
      <c r="S95" s="39">
        <v>19500</v>
      </c>
    </row>
    <row r="96" spans="1:20" x14ac:dyDescent="0.35">
      <c r="F96" t="s">
        <v>176</v>
      </c>
      <c r="G96" t="s">
        <v>177</v>
      </c>
      <c r="H96" t="s">
        <v>32</v>
      </c>
      <c r="I96" s="39">
        <v>0</v>
      </c>
      <c r="K96" t="s">
        <v>184</v>
      </c>
      <c r="L96" t="s">
        <v>185</v>
      </c>
      <c r="M96" t="s">
        <v>32</v>
      </c>
      <c r="N96" s="39">
        <v>0</v>
      </c>
      <c r="P96" t="s">
        <v>395</v>
      </c>
      <c r="Q96" t="s">
        <v>396</v>
      </c>
      <c r="R96" t="s">
        <v>284</v>
      </c>
      <c r="S96" s="39">
        <v>0</v>
      </c>
    </row>
    <row r="97" spans="1:19" x14ac:dyDescent="0.35">
      <c r="F97" t="s">
        <v>397</v>
      </c>
      <c r="G97" t="s">
        <v>398</v>
      </c>
      <c r="H97" t="s">
        <v>32</v>
      </c>
      <c r="I97" s="39">
        <v>5000</v>
      </c>
      <c r="K97" t="s">
        <v>148</v>
      </c>
      <c r="L97" t="s">
        <v>149</v>
      </c>
      <c r="M97" t="s">
        <v>32</v>
      </c>
      <c r="N97" s="39">
        <v>12500</v>
      </c>
    </row>
    <row r="98" spans="1:19" x14ac:dyDescent="0.35">
      <c r="K98" t="s">
        <v>389</v>
      </c>
      <c r="L98" t="s">
        <v>390</v>
      </c>
      <c r="M98" t="s">
        <v>32</v>
      </c>
      <c r="N98" s="39">
        <v>12000</v>
      </c>
    </row>
    <row r="99" spans="1:19" x14ac:dyDescent="0.35">
      <c r="K99" t="s">
        <v>391</v>
      </c>
      <c r="L99" t="s">
        <v>392</v>
      </c>
      <c r="M99" t="s">
        <v>284</v>
      </c>
      <c r="N99" s="39">
        <v>0</v>
      </c>
    </row>
    <row r="100" spans="1:19" x14ac:dyDescent="0.35">
      <c r="K100" t="s">
        <v>406</v>
      </c>
      <c r="L100" t="s">
        <v>407</v>
      </c>
      <c r="M100" t="s">
        <v>284</v>
      </c>
      <c r="N100" s="39">
        <v>0</v>
      </c>
    </row>
    <row r="105" spans="1:19" x14ac:dyDescent="0.35">
      <c r="A105" s="14" t="s">
        <v>3</v>
      </c>
      <c r="B105" t="s">
        <v>188</v>
      </c>
      <c r="C105" t="s">
        <v>201</v>
      </c>
      <c r="F105" s="14" t="s">
        <v>3</v>
      </c>
      <c r="G105" t="s">
        <v>188</v>
      </c>
      <c r="H105" t="s">
        <v>201</v>
      </c>
      <c r="K105" s="14" t="s">
        <v>3</v>
      </c>
      <c r="L105" t="s">
        <v>188</v>
      </c>
      <c r="M105" t="s">
        <v>201</v>
      </c>
      <c r="P105" s="14" t="s">
        <v>3</v>
      </c>
      <c r="Q105" t="s">
        <v>188</v>
      </c>
      <c r="R105" t="s">
        <v>201</v>
      </c>
    </row>
    <row r="106" spans="1:19" x14ac:dyDescent="0.35">
      <c r="A106" s="14" t="s">
        <v>9</v>
      </c>
      <c r="B106" t="s">
        <v>17</v>
      </c>
      <c r="C106">
        <v>1</v>
      </c>
      <c r="F106" s="14" t="s">
        <v>9</v>
      </c>
      <c r="G106" t="s">
        <v>18</v>
      </c>
      <c r="H106">
        <v>1</v>
      </c>
      <c r="K106" s="14" t="s">
        <v>9</v>
      </c>
      <c r="L106" t="s">
        <v>19</v>
      </c>
      <c r="M106">
        <v>1</v>
      </c>
      <c r="P106" s="14" t="s">
        <v>9</v>
      </c>
      <c r="Q106" t="s">
        <v>20</v>
      </c>
      <c r="R106">
        <v>1</v>
      </c>
    </row>
    <row r="108" spans="1:19" x14ac:dyDescent="0.35">
      <c r="A108" s="14" t="s">
        <v>0</v>
      </c>
      <c r="B108" s="14" t="s">
        <v>1</v>
      </c>
      <c r="C108" s="14" t="s">
        <v>2</v>
      </c>
      <c r="D108" t="s">
        <v>223</v>
      </c>
      <c r="F108" s="14" t="s">
        <v>0</v>
      </c>
      <c r="G108" s="14" t="s">
        <v>1</v>
      </c>
      <c r="H108" s="14" t="s">
        <v>2</v>
      </c>
      <c r="I108" t="s">
        <v>223</v>
      </c>
      <c r="K108" s="14" t="s">
        <v>0</v>
      </c>
      <c r="L108" s="14" t="s">
        <v>1</v>
      </c>
      <c r="M108" s="14" t="s">
        <v>2</v>
      </c>
      <c r="N108" t="s">
        <v>223</v>
      </c>
      <c r="P108" s="14" t="s">
        <v>0</v>
      </c>
      <c r="Q108" s="14" t="s">
        <v>1</v>
      </c>
      <c r="R108" s="14" t="s">
        <v>2</v>
      </c>
      <c r="S108" t="s">
        <v>223</v>
      </c>
    </row>
    <row r="109" spans="1:19" x14ac:dyDescent="0.35">
      <c r="A109" t="s">
        <v>305</v>
      </c>
      <c r="B109" t="s">
        <v>306</v>
      </c>
      <c r="C109" t="s">
        <v>32</v>
      </c>
      <c r="D109" s="39">
        <v>15000</v>
      </c>
      <c r="F109" t="s">
        <v>35</v>
      </c>
      <c r="G109" t="s">
        <v>36</v>
      </c>
      <c r="H109" t="s">
        <v>32</v>
      </c>
      <c r="I109" s="39">
        <v>17500</v>
      </c>
      <c r="K109" t="s">
        <v>323</v>
      </c>
      <c r="L109" t="s">
        <v>324</v>
      </c>
      <c r="M109" t="s">
        <v>32</v>
      </c>
      <c r="N109" s="39">
        <v>12500</v>
      </c>
      <c r="P109" t="s">
        <v>92</v>
      </c>
      <c r="Q109" t="s">
        <v>93</v>
      </c>
      <c r="R109" t="s">
        <v>32</v>
      </c>
      <c r="S109" s="39">
        <v>24500</v>
      </c>
    </row>
    <row r="110" spans="1:19" x14ac:dyDescent="0.35">
      <c r="A110" t="s">
        <v>307</v>
      </c>
      <c r="B110" t="s">
        <v>308</v>
      </c>
      <c r="C110" t="s">
        <v>32</v>
      </c>
      <c r="D110" s="39">
        <v>15000</v>
      </c>
      <c r="F110" t="s">
        <v>41</v>
      </c>
      <c r="G110" t="s">
        <v>42</v>
      </c>
      <c r="H110" t="s">
        <v>32</v>
      </c>
      <c r="I110" s="39">
        <v>14000</v>
      </c>
      <c r="K110" t="s">
        <v>325</v>
      </c>
      <c r="L110" t="s">
        <v>326</v>
      </c>
      <c r="M110" t="s">
        <v>32</v>
      </c>
      <c r="N110" s="39">
        <v>23500</v>
      </c>
      <c r="P110" t="s">
        <v>158</v>
      </c>
      <c r="Q110" t="s">
        <v>159</v>
      </c>
      <c r="R110" t="s">
        <v>32</v>
      </c>
      <c r="S110" s="39">
        <v>12000</v>
      </c>
    </row>
    <row r="111" spans="1:19" x14ac:dyDescent="0.35">
      <c r="A111" t="s">
        <v>309</v>
      </c>
      <c r="B111" t="s">
        <v>310</v>
      </c>
      <c r="C111" t="s">
        <v>249</v>
      </c>
      <c r="D111" s="39">
        <v>20500</v>
      </c>
      <c r="F111" t="s">
        <v>49</v>
      </c>
      <c r="G111" t="s">
        <v>50</v>
      </c>
      <c r="H111" t="s">
        <v>32</v>
      </c>
      <c r="I111" s="39">
        <v>18500</v>
      </c>
      <c r="K111" t="s">
        <v>96</v>
      </c>
      <c r="L111" t="s">
        <v>97</v>
      </c>
      <c r="M111" t="s">
        <v>32</v>
      </c>
      <c r="N111" s="39">
        <v>9500</v>
      </c>
      <c r="P111" t="s">
        <v>160</v>
      </c>
      <c r="Q111" t="s">
        <v>161</v>
      </c>
      <c r="R111" t="s">
        <v>32</v>
      </c>
      <c r="S111" s="39">
        <v>22050</v>
      </c>
    </row>
    <row r="112" spans="1:19" x14ac:dyDescent="0.35">
      <c r="A112" t="s">
        <v>311</v>
      </c>
      <c r="B112" t="s">
        <v>312</v>
      </c>
      <c r="C112" t="s">
        <v>32</v>
      </c>
      <c r="D112" s="39">
        <v>12600</v>
      </c>
      <c r="F112" t="s">
        <v>56</v>
      </c>
      <c r="G112" t="s">
        <v>57</v>
      </c>
      <c r="H112" t="s">
        <v>32</v>
      </c>
      <c r="I112" s="39">
        <v>18000</v>
      </c>
      <c r="K112" t="s">
        <v>327</v>
      </c>
      <c r="L112" t="s">
        <v>328</v>
      </c>
      <c r="M112" t="s">
        <v>32</v>
      </c>
      <c r="N112" s="39">
        <v>23500</v>
      </c>
      <c r="P112" t="s">
        <v>150</v>
      </c>
      <c r="Q112" t="s">
        <v>151</v>
      </c>
      <c r="R112" t="s">
        <v>32</v>
      </c>
      <c r="S112" s="39">
        <v>24500</v>
      </c>
    </row>
    <row r="113" spans="1:19" x14ac:dyDescent="0.35">
      <c r="A113" t="s">
        <v>313</v>
      </c>
      <c r="B113" t="s">
        <v>314</v>
      </c>
      <c r="C113" t="s">
        <v>249</v>
      </c>
      <c r="D113" s="39">
        <v>20500</v>
      </c>
      <c r="F113" t="s">
        <v>62</v>
      </c>
      <c r="G113" t="s">
        <v>63</v>
      </c>
      <c r="H113" t="s">
        <v>32</v>
      </c>
      <c r="I113" s="39">
        <v>21500</v>
      </c>
      <c r="K113" t="s">
        <v>329</v>
      </c>
      <c r="L113" t="s">
        <v>330</v>
      </c>
      <c r="M113" t="s">
        <v>32</v>
      </c>
      <c r="N113" s="39">
        <v>18000</v>
      </c>
      <c r="P113" t="s">
        <v>121</v>
      </c>
      <c r="Q113" t="s">
        <v>122</v>
      </c>
      <c r="R113" t="s">
        <v>32</v>
      </c>
      <c r="S113" s="39">
        <v>21500</v>
      </c>
    </row>
    <row r="114" spans="1:19" x14ac:dyDescent="0.35">
      <c r="A114" t="s">
        <v>168</v>
      </c>
      <c r="B114" t="s">
        <v>169</v>
      </c>
      <c r="C114" t="s">
        <v>32</v>
      </c>
      <c r="D114" s="39">
        <v>4000</v>
      </c>
      <c r="F114" t="s">
        <v>68</v>
      </c>
      <c r="G114" t="s">
        <v>69</v>
      </c>
      <c r="H114" t="s">
        <v>32</v>
      </c>
      <c r="I114" s="39">
        <v>19000</v>
      </c>
      <c r="K114" t="s">
        <v>331</v>
      </c>
      <c r="L114" t="s">
        <v>332</v>
      </c>
      <c r="M114" t="s">
        <v>32</v>
      </c>
      <c r="N114" s="39">
        <v>23500</v>
      </c>
      <c r="P114" t="s">
        <v>162</v>
      </c>
      <c r="Q114" t="s">
        <v>163</v>
      </c>
      <c r="R114" t="s">
        <v>249</v>
      </c>
      <c r="S114" s="39">
        <v>0</v>
      </c>
    </row>
    <row r="115" spans="1:19" x14ac:dyDescent="0.35">
      <c r="A115" t="s">
        <v>315</v>
      </c>
      <c r="B115" t="s">
        <v>316</v>
      </c>
      <c r="C115" t="s">
        <v>32</v>
      </c>
      <c r="D115" s="39">
        <v>15000</v>
      </c>
      <c r="F115" t="s">
        <v>166</v>
      </c>
      <c r="G115" t="s">
        <v>167</v>
      </c>
      <c r="H115" t="s">
        <v>249</v>
      </c>
      <c r="I115" s="39">
        <v>0</v>
      </c>
      <c r="K115" t="s">
        <v>333</v>
      </c>
      <c r="L115" t="s">
        <v>334</v>
      </c>
      <c r="M115" t="s">
        <v>32</v>
      </c>
      <c r="N115" s="39">
        <v>20000</v>
      </c>
      <c r="P115" t="s">
        <v>164</v>
      </c>
      <c r="Q115" t="s">
        <v>165</v>
      </c>
      <c r="R115" t="s">
        <v>32</v>
      </c>
      <c r="S115" s="39">
        <v>24500</v>
      </c>
    </row>
    <row r="116" spans="1:19" x14ac:dyDescent="0.35">
      <c r="A116" t="s">
        <v>317</v>
      </c>
      <c r="B116" t="s">
        <v>318</v>
      </c>
      <c r="C116" t="s">
        <v>32</v>
      </c>
      <c r="D116" s="39">
        <v>15500</v>
      </c>
      <c r="F116" t="s">
        <v>72</v>
      </c>
      <c r="G116" t="s">
        <v>73</v>
      </c>
      <c r="H116" t="s">
        <v>249</v>
      </c>
      <c r="I116" s="39">
        <v>22500</v>
      </c>
      <c r="K116" t="s">
        <v>335</v>
      </c>
      <c r="L116" t="s">
        <v>336</v>
      </c>
      <c r="M116" t="s">
        <v>32</v>
      </c>
      <c r="N116" s="39">
        <v>18500</v>
      </c>
      <c r="P116" t="s">
        <v>404</v>
      </c>
      <c r="Q116" t="s">
        <v>405</v>
      </c>
      <c r="R116" t="s">
        <v>284</v>
      </c>
      <c r="S116" s="39">
        <v>0</v>
      </c>
    </row>
    <row r="117" spans="1:19" x14ac:dyDescent="0.35">
      <c r="A117" t="s">
        <v>319</v>
      </c>
      <c r="B117" t="s">
        <v>320</v>
      </c>
      <c r="C117" t="s">
        <v>32</v>
      </c>
      <c r="D117" s="39">
        <v>20500</v>
      </c>
      <c r="F117" t="s">
        <v>186</v>
      </c>
      <c r="G117" t="s">
        <v>187</v>
      </c>
      <c r="H117" t="s">
        <v>32</v>
      </c>
      <c r="I117" s="39">
        <v>22500</v>
      </c>
      <c r="K117" t="s">
        <v>337</v>
      </c>
      <c r="L117" t="s">
        <v>338</v>
      </c>
      <c r="M117" t="s">
        <v>32</v>
      </c>
      <c r="N117" s="39">
        <v>4500</v>
      </c>
    </row>
    <row r="118" spans="1:19" x14ac:dyDescent="0.35">
      <c r="A118" t="s">
        <v>321</v>
      </c>
      <c r="B118" t="s">
        <v>322</v>
      </c>
      <c r="C118" t="s">
        <v>32</v>
      </c>
      <c r="D118" s="39">
        <v>5000</v>
      </c>
      <c r="F118" t="s">
        <v>393</v>
      </c>
      <c r="G118" t="s">
        <v>394</v>
      </c>
      <c r="H118" t="s">
        <v>32</v>
      </c>
      <c r="I118" s="39">
        <v>6500</v>
      </c>
      <c r="K118" t="s">
        <v>339</v>
      </c>
      <c r="L118" t="s">
        <v>340</v>
      </c>
      <c r="M118" t="s">
        <v>32</v>
      </c>
      <c r="N118" s="39">
        <v>18000</v>
      </c>
    </row>
    <row r="119" spans="1:19" x14ac:dyDescent="0.35">
      <c r="K119" t="s">
        <v>341</v>
      </c>
      <c r="L119" t="s">
        <v>342</v>
      </c>
      <c r="M119" t="s">
        <v>249</v>
      </c>
      <c r="N119" s="39">
        <v>23500</v>
      </c>
    </row>
    <row r="128" spans="1:19" x14ac:dyDescent="0.35">
      <c r="A128" s="14" t="s">
        <v>3</v>
      </c>
      <c r="B128" t="s">
        <v>188</v>
      </c>
      <c r="C128" t="s">
        <v>201</v>
      </c>
      <c r="F128" s="14" t="s">
        <v>3</v>
      </c>
      <c r="G128" t="s">
        <v>188</v>
      </c>
      <c r="H128" t="s">
        <v>201</v>
      </c>
      <c r="K128" s="14" t="s">
        <v>3</v>
      </c>
      <c r="L128" t="s">
        <v>188</v>
      </c>
      <c r="M128" t="s">
        <v>201</v>
      </c>
      <c r="P128" s="14" t="s">
        <v>3</v>
      </c>
      <c r="Q128" t="s">
        <v>188</v>
      </c>
      <c r="R128" t="s">
        <v>201</v>
      </c>
    </row>
    <row r="129" spans="1:19" x14ac:dyDescent="0.35">
      <c r="A129" s="14" t="s">
        <v>9</v>
      </c>
      <c r="B129" t="s">
        <v>21</v>
      </c>
      <c r="C129">
        <v>1</v>
      </c>
      <c r="F129" s="14" t="s">
        <v>9</v>
      </c>
      <c r="G129" t="s">
        <v>22</v>
      </c>
      <c r="H129">
        <v>1</v>
      </c>
      <c r="K129" s="14" t="s">
        <v>9</v>
      </c>
      <c r="L129" t="s">
        <v>23</v>
      </c>
      <c r="M129">
        <v>1</v>
      </c>
      <c r="P129" s="14" t="s">
        <v>9</v>
      </c>
      <c r="Q129" t="s">
        <v>24</v>
      </c>
      <c r="R129">
        <v>1</v>
      </c>
    </row>
    <row r="131" spans="1:19" x14ac:dyDescent="0.35">
      <c r="A131" s="14" t="s">
        <v>0</v>
      </c>
      <c r="B131" s="14" t="s">
        <v>1</v>
      </c>
      <c r="C131" s="14" t="s">
        <v>2</v>
      </c>
      <c r="D131" t="s">
        <v>223</v>
      </c>
      <c r="E131" s="14"/>
      <c r="F131" s="14" t="s">
        <v>0</v>
      </c>
      <c r="G131" s="14" t="s">
        <v>1</v>
      </c>
      <c r="H131" s="14" t="s">
        <v>2</v>
      </c>
      <c r="I131" t="s">
        <v>223</v>
      </c>
      <c r="J131" s="14"/>
      <c r="K131" s="14" t="s">
        <v>0</v>
      </c>
      <c r="L131" s="14" t="s">
        <v>1</v>
      </c>
      <c r="M131" s="14" t="s">
        <v>2</v>
      </c>
      <c r="N131" t="s">
        <v>223</v>
      </c>
      <c r="O131" s="14"/>
      <c r="P131" s="14" t="s">
        <v>0</v>
      </c>
      <c r="Q131" s="14" t="s">
        <v>1</v>
      </c>
      <c r="R131" s="14" t="s">
        <v>2</v>
      </c>
      <c r="S131" t="s">
        <v>223</v>
      </c>
    </row>
    <row r="132" spans="1:19" x14ac:dyDescent="0.35">
      <c r="A132" t="s">
        <v>94</v>
      </c>
      <c r="B132" t="s">
        <v>95</v>
      </c>
      <c r="C132" t="s">
        <v>32</v>
      </c>
      <c r="D132" s="39">
        <v>14000</v>
      </c>
      <c r="F132" t="s">
        <v>357</v>
      </c>
      <c r="G132" t="s">
        <v>358</v>
      </c>
      <c r="H132" t="s">
        <v>32</v>
      </c>
      <c r="I132" s="39">
        <v>21500</v>
      </c>
      <c r="K132" t="s">
        <v>363</v>
      </c>
      <c r="L132" t="s">
        <v>364</v>
      </c>
      <c r="M132" t="s">
        <v>32</v>
      </c>
      <c r="N132" s="39">
        <v>24600</v>
      </c>
      <c r="P132" t="s">
        <v>377</v>
      </c>
      <c r="Q132" t="s">
        <v>378</v>
      </c>
      <c r="R132" t="s">
        <v>32</v>
      </c>
      <c r="S132" s="39">
        <v>10000</v>
      </c>
    </row>
    <row r="133" spans="1:19" x14ac:dyDescent="0.35">
      <c r="A133" t="s">
        <v>154</v>
      </c>
      <c r="B133" t="s">
        <v>155</v>
      </c>
      <c r="C133" t="s">
        <v>32</v>
      </c>
      <c r="D133" s="39">
        <v>12000</v>
      </c>
      <c r="F133" t="s">
        <v>359</v>
      </c>
      <c r="G133" t="s">
        <v>360</v>
      </c>
      <c r="H133" t="s">
        <v>32</v>
      </c>
      <c r="I133" s="39">
        <v>15000</v>
      </c>
      <c r="K133" t="s">
        <v>152</v>
      </c>
      <c r="L133" t="s">
        <v>153</v>
      </c>
      <c r="M133" t="s">
        <v>32</v>
      </c>
      <c r="N133" s="39">
        <v>5000</v>
      </c>
      <c r="P133" t="s">
        <v>379</v>
      </c>
      <c r="Q133" t="s">
        <v>380</v>
      </c>
      <c r="R133" t="s">
        <v>32</v>
      </c>
      <c r="S133" s="39">
        <v>22500</v>
      </c>
    </row>
    <row r="134" spans="1:19" x14ac:dyDescent="0.35">
      <c r="A134" t="s">
        <v>343</v>
      </c>
      <c r="B134" t="s">
        <v>344</v>
      </c>
      <c r="C134" t="s">
        <v>32</v>
      </c>
      <c r="D134" s="39">
        <v>6000</v>
      </c>
      <c r="F134" t="s">
        <v>361</v>
      </c>
      <c r="G134" t="s">
        <v>362</v>
      </c>
      <c r="H134" t="s">
        <v>249</v>
      </c>
      <c r="I134" s="39">
        <v>27500</v>
      </c>
      <c r="K134" t="s">
        <v>365</v>
      </c>
      <c r="L134" t="s">
        <v>366</v>
      </c>
      <c r="M134" t="s">
        <v>32</v>
      </c>
      <c r="N134" s="39">
        <v>19000</v>
      </c>
      <c r="P134" t="s">
        <v>381</v>
      </c>
      <c r="Q134" t="s">
        <v>382</v>
      </c>
      <c r="R134" t="s">
        <v>32</v>
      </c>
      <c r="S134" s="39">
        <v>11000</v>
      </c>
    </row>
    <row r="135" spans="1:19" x14ac:dyDescent="0.35">
      <c r="A135" t="s">
        <v>156</v>
      </c>
      <c r="B135" t="s">
        <v>157</v>
      </c>
      <c r="C135" t="s">
        <v>32</v>
      </c>
      <c r="D135" s="39">
        <v>4000</v>
      </c>
      <c r="F135" t="s">
        <v>402</v>
      </c>
      <c r="G135" t="s">
        <v>403</v>
      </c>
      <c r="H135" t="s">
        <v>284</v>
      </c>
      <c r="I135" s="39">
        <v>0</v>
      </c>
      <c r="K135" t="s">
        <v>367</v>
      </c>
      <c r="L135" t="s">
        <v>368</v>
      </c>
      <c r="M135" t="s">
        <v>249</v>
      </c>
      <c r="N135" s="39">
        <v>29000</v>
      </c>
      <c r="P135" t="s">
        <v>383</v>
      </c>
      <c r="Q135" t="s">
        <v>384</v>
      </c>
      <c r="R135" t="s">
        <v>32</v>
      </c>
      <c r="S135" s="39">
        <v>28000</v>
      </c>
    </row>
    <row r="136" spans="1:19" x14ac:dyDescent="0.35">
      <c r="A136" t="s">
        <v>345</v>
      </c>
      <c r="B136" t="s">
        <v>346</v>
      </c>
      <c r="C136" t="s">
        <v>32</v>
      </c>
      <c r="D136" s="39">
        <v>20000</v>
      </c>
      <c r="K136" t="s">
        <v>98</v>
      </c>
      <c r="L136" t="s">
        <v>99</v>
      </c>
      <c r="M136" t="s">
        <v>32</v>
      </c>
      <c r="N136" s="39">
        <v>5000</v>
      </c>
    </row>
    <row r="137" spans="1:19" x14ac:dyDescent="0.35">
      <c r="A137" t="s">
        <v>347</v>
      </c>
      <c r="B137" t="s">
        <v>348</v>
      </c>
      <c r="C137" t="s">
        <v>32</v>
      </c>
      <c r="D137" s="39">
        <v>26000</v>
      </c>
      <c r="K137" t="s">
        <v>369</v>
      </c>
      <c r="L137" t="s">
        <v>370</v>
      </c>
      <c r="M137" t="s">
        <v>32</v>
      </c>
      <c r="N137" s="39">
        <v>20000</v>
      </c>
    </row>
    <row r="138" spans="1:19" x14ac:dyDescent="0.35">
      <c r="A138" t="s">
        <v>349</v>
      </c>
      <c r="B138" t="s">
        <v>350</v>
      </c>
      <c r="C138" t="s">
        <v>32</v>
      </c>
      <c r="D138" s="39">
        <v>26000</v>
      </c>
      <c r="K138" t="s">
        <v>371</v>
      </c>
      <c r="L138" t="s">
        <v>372</v>
      </c>
      <c r="M138" t="s">
        <v>32</v>
      </c>
      <c r="N138" s="39">
        <v>16000</v>
      </c>
    </row>
    <row r="139" spans="1:19" x14ac:dyDescent="0.35">
      <c r="A139" t="s">
        <v>351</v>
      </c>
      <c r="B139" t="s">
        <v>352</v>
      </c>
      <c r="C139" t="s">
        <v>32</v>
      </c>
      <c r="D139" s="39">
        <v>20000</v>
      </c>
      <c r="K139" t="s">
        <v>373</v>
      </c>
      <c r="L139" t="s">
        <v>374</v>
      </c>
      <c r="M139" t="s">
        <v>32</v>
      </c>
      <c r="N139" s="39">
        <v>20000</v>
      </c>
    </row>
    <row r="140" spans="1:19" x14ac:dyDescent="0.35">
      <c r="A140" t="s">
        <v>353</v>
      </c>
      <c r="B140" t="s">
        <v>354</v>
      </c>
      <c r="C140" t="s">
        <v>249</v>
      </c>
      <c r="D140" s="39">
        <v>26000</v>
      </c>
      <c r="K140" t="s">
        <v>375</v>
      </c>
      <c r="L140" t="s">
        <v>376</v>
      </c>
      <c r="M140" t="s">
        <v>32</v>
      </c>
      <c r="N140" s="39">
        <v>20000</v>
      </c>
    </row>
    <row r="141" spans="1:19" x14ac:dyDescent="0.35">
      <c r="A141" t="s">
        <v>355</v>
      </c>
      <c r="B141" t="s">
        <v>356</v>
      </c>
      <c r="C141" t="s">
        <v>249</v>
      </c>
      <c r="D141" s="39">
        <v>26000</v>
      </c>
    </row>
    <row r="151" spans="1:19" x14ac:dyDescent="0.35">
      <c r="A151" s="14" t="s">
        <v>3</v>
      </c>
      <c r="B151" t="s">
        <v>188</v>
      </c>
      <c r="C151" t="s">
        <v>201</v>
      </c>
      <c r="F151" s="14" t="s">
        <v>3</v>
      </c>
      <c r="G151" t="s">
        <v>188</v>
      </c>
      <c r="H151" t="s">
        <v>201</v>
      </c>
    </row>
    <row r="152" spans="1:19" x14ac:dyDescent="0.35">
      <c r="A152" s="14" t="s">
        <v>9</v>
      </c>
      <c r="B152" t="s">
        <v>25</v>
      </c>
      <c r="C152">
        <v>1</v>
      </c>
      <c r="F152" s="14" t="s">
        <v>28</v>
      </c>
      <c r="G152" t="s">
        <v>14</v>
      </c>
    </row>
    <row r="154" spans="1:19" x14ac:dyDescent="0.35">
      <c r="A154" s="14" t="s">
        <v>0</v>
      </c>
      <c r="B154" s="14" t="s">
        <v>1</v>
      </c>
      <c r="C154" s="14" t="s">
        <v>2</v>
      </c>
      <c r="D154" t="s">
        <v>223</v>
      </c>
      <c r="E154" s="14"/>
      <c r="F154" s="14" t="s">
        <v>0</v>
      </c>
      <c r="G154" s="14" t="s">
        <v>1</v>
      </c>
      <c r="H154" s="14" t="s">
        <v>2</v>
      </c>
      <c r="I154" s="14" t="s">
        <v>9</v>
      </c>
      <c r="J154" t="s">
        <v>223</v>
      </c>
      <c r="K154" s="14"/>
      <c r="L154" s="14"/>
      <c r="M154" s="14"/>
      <c r="N154" s="14"/>
      <c r="O154" s="14"/>
      <c r="P154" s="14"/>
      <c r="Q154" s="14"/>
      <c r="R154" s="14"/>
      <c r="S154" s="14"/>
    </row>
    <row r="155" spans="1:19" x14ac:dyDescent="0.35">
      <c r="A155" t="s">
        <v>385</v>
      </c>
      <c r="B155" t="s">
        <v>386</v>
      </c>
      <c r="C155" t="s">
        <v>32</v>
      </c>
      <c r="D155" s="39">
        <v>18000</v>
      </c>
      <c r="F155" t="s">
        <v>30</v>
      </c>
      <c r="G155" t="s">
        <v>31</v>
      </c>
      <c r="H155" t="s">
        <v>249</v>
      </c>
      <c r="I155" t="s">
        <v>14</v>
      </c>
      <c r="J155" s="39">
        <v>17000</v>
      </c>
    </row>
    <row r="156" spans="1:19" x14ac:dyDescent="0.35">
      <c r="A156" t="s">
        <v>387</v>
      </c>
      <c r="B156" t="s">
        <v>388</v>
      </c>
      <c r="C156" t="s">
        <v>32</v>
      </c>
      <c r="D156" s="39">
        <v>31350</v>
      </c>
      <c r="F156" t="s">
        <v>37</v>
      </c>
      <c r="G156" t="s">
        <v>38</v>
      </c>
      <c r="H156" t="s">
        <v>32</v>
      </c>
      <c r="I156" t="s">
        <v>14</v>
      </c>
      <c r="J156" s="39">
        <v>10000</v>
      </c>
    </row>
    <row r="157" spans="1:19" x14ac:dyDescent="0.35">
      <c r="F157" t="s">
        <v>45</v>
      </c>
      <c r="G157" t="s">
        <v>46</v>
      </c>
      <c r="H157" t="s">
        <v>32</v>
      </c>
      <c r="I157" t="s">
        <v>14</v>
      </c>
      <c r="J157" s="39">
        <v>9000</v>
      </c>
    </row>
    <row r="158" spans="1:19" x14ac:dyDescent="0.35">
      <c r="F158" t="s">
        <v>52</v>
      </c>
      <c r="G158" t="s">
        <v>53</v>
      </c>
      <c r="H158" t="s">
        <v>32</v>
      </c>
      <c r="I158" t="s">
        <v>14</v>
      </c>
      <c r="J158" s="39">
        <v>10000</v>
      </c>
    </row>
    <row r="159" spans="1:19" x14ac:dyDescent="0.35">
      <c r="F159" t="s">
        <v>58</v>
      </c>
      <c r="G159" t="s">
        <v>59</v>
      </c>
      <c r="H159" t="s">
        <v>249</v>
      </c>
      <c r="I159" t="s">
        <v>14</v>
      </c>
      <c r="J159" s="39">
        <v>17000</v>
      </c>
    </row>
    <row r="160" spans="1:19" x14ac:dyDescent="0.35">
      <c r="F160" t="s">
        <v>64</v>
      </c>
      <c r="G160" t="s">
        <v>65</v>
      </c>
      <c r="H160" t="s">
        <v>32</v>
      </c>
      <c r="I160" t="s">
        <v>14</v>
      </c>
      <c r="J160" s="39">
        <v>7500</v>
      </c>
    </row>
    <row r="161" spans="6:10" x14ac:dyDescent="0.35">
      <c r="F161" t="s">
        <v>142</v>
      </c>
      <c r="G161" t="s">
        <v>143</v>
      </c>
      <c r="H161" t="s">
        <v>32</v>
      </c>
      <c r="I161" t="s">
        <v>14</v>
      </c>
      <c r="J161" s="39">
        <v>8000</v>
      </c>
    </row>
    <row r="162" spans="6:10" x14ac:dyDescent="0.35">
      <c r="F162" t="s">
        <v>70</v>
      </c>
      <c r="G162" t="s">
        <v>71</v>
      </c>
      <c r="H162" t="s">
        <v>32</v>
      </c>
      <c r="I162" t="s">
        <v>14</v>
      </c>
      <c r="J162" s="39">
        <v>15000</v>
      </c>
    </row>
    <row r="163" spans="6:10" x14ac:dyDescent="0.35">
      <c r="F163" t="s">
        <v>144</v>
      </c>
      <c r="G163" t="s">
        <v>145</v>
      </c>
      <c r="H163" t="s">
        <v>32</v>
      </c>
      <c r="I163" t="s">
        <v>14</v>
      </c>
      <c r="J163" s="39">
        <v>17000</v>
      </c>
    </row>
    <row r="164" spans="6:10" x14ac:dyDescent="0.35">
      <c r="F164" t="s">
        <v>74</v>
      </c>
      <c r="G164" t="s">
        <v>75</v>
      </c>
      <c r="H164" t="s">
        <v>249</v>
      </c>
      <c r="I164" t="s">
        <v>14</v>
      </c>
      <c r="J164" s="39">
        <v>17000</v>
      </c>
    </row>
    <row r="165" spans="6:10" x14ac:dyDescent="0.35">
      <c r="F165" t="s">
        <v>174</v>
      </c>
      <c r="G165" t="s">
        <v>175</v>
      </c>
      <c r="H165" t="s">
        <v>249</v>
      </c>
      <c r="I165" t="s">
        <v>14</v>
      </c>
      <c r="J165" s="39">
        <v>0</v>
      </c>
    </row>
    <row r="166" spans="6:10" x14ac:dyDescent="0.35">
      <c r="F166" t="s">
        <v>76</v>
      </c>
      <c r="G166" t="s">
        <v>77</v>
      </c>
      <c r="H166" t="s">
        <v>32</v>
      </c>
      <c r="I166" t="s">
        <v>14</v>
      </c>
      <c r="J166" s="39">
        <v>9000</v>
      </c>
    </row>
    <row r="167" spans="6:10" x14ac:dyDescent="0.35">
      <c r="F167" t="s">
        <v>80</v>
      </c>
      <c r="G167" t="s">
        <v>81</v>
      </c>
      <c r="H167" t="s">
        <v>32</v>
      </c>
      <c r="I167" t="s">
        <v>14</v>
      </c>
      <c r="J167" s="39">
        <v>5000</v>
      </c>
    </row>
    <row r="168" spans="6:10" x14ac:dyDescent="0.35">
      <c r="F168" t="s">
        <v>84</v>
      </c>
      <c r="G168" t="s">
        <v>85</v>
      </c>
      <c r="H168" t="s">
        <v>32</v>
      </c>
      <c r="I168" t="s">
        <v>14</v>
      </c>
      <c r="J168" s="39">
        <v>17000</v>
      </c>
    </row>
    <row r="169" spans="6:10" x14ac:dyDescent="0.35">
      <c r="F169" t="s">
        <v>176</v>
      </c>
      <c r="G169" t="s">
        <v>177</v>
      </c>
      <c r="H169" t="s">
        <v>32</v>
      </c>
      <c r="I169" t="s">
        <v>14</v>
      </c>
      <c r="J169" s="39">
        <v>0</v>
      </c>
    </row>
    <row r="170" spans="6:10" x14ac:dyDescent="0.35">
      <c r="F170" t="s">
        <v>397</v>
      </c>
      <c r="G170" t="s">
        <v>398</v>
      </c>
      <c r="H170" t="s">
        <v>32</v>
      </c>
      <c r="I170" t="s">
        <v>14</v>
      </c>
      <c r="J170" s="39">
        <v>5000</v>
      </c>
    </row>
    <row r="206" spans="1:10" x14ac:dyDescent="0.35">
      <c r="B206">
        <v>13</v>
      </c>
    </row>
    <row r="207" spans="1:10" x14ac:dyDescent="0.35">
      <c r="A207" s="14" t="s">
        <v>3</v>
      </c>
      <c r="B207" t="s">
        <v>188</v>
      </c>
      <c r="D207" t="s">
        <v>201</v>
      </c>
      <c r="E207">
        <v>1</v>
      </c>
      <c r="F207" t="s">
        <v>201</v>
      </c>
      <c r="G207">
        <v>1</v>
      </c>
      <c r="I207" s="14" t="s">
        <v>3</v>
      </c>
      <c r="J207" t="s">
        <v>188</v>
      </c>
    </row>
    <row r="208" spans="1:10" x14ac:dyDescent="0.35">
      <c r="D208" s="14" t="s">
        <v>3</v>
      </c>
      <c r="E208" t="s">
        <v>188</v>
      </c>
      <c r="F208" s="14" t="s">
        <v>3</v>
      </c>
      <c r="G208" t="s">
        <v>188</v>
      </c>
    </row>
    <row r="209" spans="1:10" x14ac:dyDescent="0.35">
      <c r="A209" s="14" t="s">
        <v>100</v>
      </c>
      <c r="B209" t="s">
        <v>244</v>
      </c>
      <c r="I209" s="14" t="s">
        <v>8</v>
      </c>
      <c r="J209" t="s">
        <v>231</v>
      </c>
    </row>
    <row r="210" spans="1:10" x14ac:dyDescent="0.35">
      <c r="A210" t="s">
        <v>195</v>
      </c>
      <c r="B210" s="39">
        <v>1</v>
      </c>
      <c r="D210" s="14" t="s">
        <v>245</v>
      </c>
      <c r="E210" t="s">
        <v>244</v>
      </c>
      <c r="F210" s="14" t="s">
        <v>246</v>
      </c>
      <c r="G210" t="s">
        <v>244</v>
      </c>
      <c r="I210" s="40" t="s">
        <v>214</v>
      </c>
      <c r="J210" s="39">
        <v>3</v>
      </c>
    </row>
    <row r="211" spans="1:10" x14ac:dyDescent="0.35">
      <c r="A211" t="s">
        <v>101</v>
      </c>
      <c r="B211" s="39">
        <v>1</v>
      </c>
      <c r="D211" t="s">
        <v>88</v>
      </c>
      <c r="E211" s="39">
        <v>2</v>
      </c>
      <c r="F211" t="s">
        <v>199</v>
      </c>
      <c r="G211" s="39">
        <v>1</v>
      </c>
      <c r="I211" s="43" t="s">
        <v>89</v>
      </c>
      <c r="J211" s="39">
        <v>3</v>
      </c>
    </row>
    <row r="212" spans="1:10" x14ac:dyDescent="0.35">
      <c r="A212" t="s">
        <v>102</v>
      </c>
      <c r="B212" s="39">
        <v>4</v>
      </c>
      <c r="D212" t="s">
        <v>90</v>
      </c>
      <c r="E212" s="39">
        <v>119</v>
      </c>
      <c r="F212" t="s">
        <v>91</v>
      </c>
      <c r="G212" s="39">
        <v>2</v>
      </c>
      <c r="I212" s="40" t="s">
        <v>14</v>
      </c>
      <c r="J212" s="39">
        <v>16</v>
      </c>
    </row>
    <row r="213" spans="1:10" x14ac:dyDescent="0.35">
      <c r="A213" t="s">
        <v>191</v>
      </c>
      <c r="B213" s="39">
        <v>1</v>
      </c>
      <c r="F213" t="s">
        <v>90</v>
      </c>
      <c r="G213" s="39">
        <v>118</v>
      </c>
      <c r="I213" s="43" t="s">
        <v>87</v>
      </c>
      <c r="J213" s="39">
        <v>8</v>
      </c>
    </row>
    <row r="214" spans="1:10" x14ac:dyDescent="0.35">
      <c r="A214" t="s">
        <v>103</v>
      </c>
      <c r="B214" s="39">
        <v>7</v>
      </c>
      <c r="I214" s="43" t="s">
        <v>89</v>
      </c>
      <c r="J214" s="39">
        <v>8</v>
      </c>
    </row>
    <row r="215" spans="1:10" x14ac:dyDescent="0.35">
      <c r="A215" t="s">
        <v>104</v>
      </c>
      <c r="B215" s="39">
        <v>1</v>
      </c>
      <c r="G215" s="15"/>
      <c r="I215" s="40" t="s">
        <v>15</v>
      </c>
      <c r="J215" s="39">
        <v>19</v>
      </c>
    </row>
    <row r="216" spans="1:10" x14ac:dyDescent="0.35">
      <c r="A216" t="s">
        <v>105</v>
      </c>
      <c r="B216" s="39">
        <v>4</v>
      </c>
      <c r="I216" s="43" t="s">
        <v>87</v>
      </c>
      <c r="J216" s="39">
        <v>11</v>
      </c>
    </row>
    <row r="217" spans="1:10" x14ac:dyDescent="0.35">
      <c r="A217" t="s">
        <v>198</v>
      </c>
      <c r="B217" s="39">
        <v>1</v>
      </c>
      <c r="I217" s="43" t="s">
        <v>89</v>
      </c>
      <c r="J217" s="39">
        <v>8</v>
      </c>
    </row>
    <row r="218" spans="1:10" x14ac:dyDescent="0.35">
      <c r="A218" t="s">
        <v>192</v>
      </c>
      <c r="B218" s="39">
        <v>1</v>
      </c>
      <c r="I218" s="40" t="s">
        <v>16</v>
      </c>
      <c r="J218" s="39">
        <v>15</v>
      </c>
    </row>
    <row r="219" spans="1:10" x14ac:dyDescent="0.35">
      <c r="A219" t="s">
        <v>106</v>
      </c>
      <c r="B219" s="39">
        <v>1</v>
      </c>
      <c r="I219" s="43" t="s">
        <v>87</v>
      </c>
      <c r="J219" s="39">
        <v>8</v>
      </c>
    </row>
    <row r="220" spans="1:10" x14ac:dyDescent="0.35">
      <c r="A220" t="s">
        <v>107</v>
      </c>
      <c r="B220" s="39">
        <v>1</v>
      </c>
      <c r="I220" s="43" t="s">
        <v>89</v>
      </c>
      <c r="J220" s="39">
        <v>7</v>
      </c>
    </row>
    <row r="221" spans="1:10" x14ac:dyDescent="0.35">
      <c r="A221" t="s">
        <v>108</v>
      </c>
      <c r="B221" s="39">
        <v>9</v>
      </c>
      <c r="I221" s="40" t="s">
        <v>17</v>
      </c>
      <c r="J221" s="39">
        <v>10</v>
      </c>
    </row>
    <row r="222" spans="1:10" x14ac:dyDescent="0.35">
      <c r="A222" t="s">
        <v>141</v>
      </c>
      <c r="B222" s="39">
        <v>2</v>
      </c>
      <c r="I222" s="43" t="s">
        <v>87</v>
      </c>
      <c r="J222" s="39">
        <v>2</v>
      </c>
    </row>
    <row r="223" spans="1:10" x14ac:dyDescent="0.35">
      <c r="A223" t="s">
        <v>109</v>
      </c>
      <c r="B223" s="39">
        <v>1</v>
      </c>
      <c r="I223" s="43" t="s">
        <v>89</v>
      </c>
      <c r="J223" s="39">
        <v>8</v>
      </c>
    </row>
    <row r="224" spans="1:10" x14ac:dyDescent="0.35">
      <c r="A224" t="s">
        <v>139</v>
      </c>
      <c r="B224" s="39">
        <v>2</v>
      </c>
      <c r="I224" s="40" t="s">
        <v>18</v>
      </c>
      <c r="J224" s="39">
        <v>10</v>
      </c>
    </row>
    <row r="225" spans="1:10" x14ac:dyDescent="0.35">
      <c r="A225" t="s">
        <v>110</v>
      </c>
      <c r="B225" s="39">
        <v>8</v>
      </c>
      <c r="I225" s="43" t="s">
        <v>87</v>
      </c>
      <c r="J225" s="39">
        <v>6</v>
      </c>
    </row>
    <row r="226" spans="1:10" x14ac:dyDescent="0.35">
      <c r="A226" t="s">
        <v>111</v>
      </c>
      <c r="B226" s="39">
        <v>2</v>
      </c>
      <c r="D226" s="7"/>
      <c r="E226" s="7"/>
      <c r="F226" s="7"/>
      <c r="G226" s="7"/>
      <c r="I226" s="43" t="s">
        <v>89</v>
      </c>
      <c r="J226" s="39">
        <v>4</v>
      </c>
    </row>
    <row r="227" spans="1:10" x14ac:dyDescent="0.35">
      <c r="A227" t="s">
        <v>112</v>
      </c>
      <c r="B227" s="39">
        <v>3</v>
      </c>
      <c r="I227" s="40" t="s">
        <v>19</v>
      </c>
      <c r="J227" s="39">
        <v>11</v>
      </c>
    </row>
    <row r="228" spans="1:10" x14ac:dyDescent="0.35">
      <c r="A228" t="s">
        <v>113</v>
      </c>
      <c r="B228" s="39">
        <v>1</v>
      </c>
      <c r="I228" s="43" t="s">
        <v>87</v>
      </c>
      <c r="J228" s="39">
        <v>3</v>
      </c>
    </row>
    <row r="229" spans="1:10" x14ac:dyDescent="0.35">
      <c r="A229" t="s">
        <v>90</v>
      </c>
      <c r="B229" s="39">
        <v>1</v>
      </c>
      <c r="I229" s="43" t="s">
        <v>89</v>
      </c>
      <c r="J229" s="39">
        <v>8</v>
      </c>
    </row>
    <row r="230" spans="1:10" x14ac:dyDescent="0.35">
      <c r="A230" t="s">
        <v>140</v>
      </c>
      <c r="B230" s="39">
        <v>1</v>
      </c>
      <c r="I230" s="40" t="s">
        <v>20</v>
      </c>
      <c r="J230" s="39">
        <v>8</v>
      </c>
    </row>
    <row r="231" spans="1:10" x14ac:dyDescent="0.35">
      <c r="A231" t="s">
        <v>114</v>
      </c>
      <c r="B231" s="39">
        <v>3</v>
      </c>
      <c r="I231" s="43" t="s">
        <v>87</v>
      </c>
      <c r="J231" s="39">
        <v>6</v>
      </c>
    </row>
    <row r="232" spans="1:10" x14ac:dyDescent="0.35">
      <c r="A232" t="s">
        <v>115</v>
      </c>
      <c r="B232" s="39">
        <v>6</v>
      </c>
      <c r="I232" s="43" t="s">
        <v>89</v>
      </c>
      <c r="J232" s="39">
        <v>2</v>
      </c>
    </row>
    <row r="233" spans="1:10" x14ac:dyDescent="0.35">
      <c r="A233" t="s">
        <v>197</v>
      </c>
      <c r="B233" s="39">
        <v>1</v>
      </c>
      <c r="I233" s="40" t="s">
        <v>21</v>
      </c>
      <c r="J233" s="39">
        <v>10</v>
      </c>
    </row>
    <row r="234" spans="1:10" x14ac:dyDescent="0.35">
      <c r="A234" t="s">
        <v>116</v>
      </c>
      <c r="B234" s="39">
        <v>1</v>
      </c>
      <c r="I234" s="43" t="s">
        <v>87</v>
      </c>
      <c r="J234" s="39">
        <v>8</v>
      </c>
    </row>
    <row r="235" spans="1:10" x14ac:dyDescent="0.35">
      <c r="A235" t="s">
        <v>117</v>
      </c>
      <c r="B235" s="39">
        <v>1</v>
      </c>
      <c r="I235" s="43" t="s">
        <v>89</v>
      </c>
      <c r="J235" s="39">
        <v>2</v>
      </c>
    </row>
    <row r="236" spans="1:10" x14ac:dyDescent="0.35">
      <c r="A236" t="s">
        <v>118</v>
      </c>
      <c r="B236" s="39">
        <v>28</v>
      </c>
      <c r="I236" s="40" t="s">
        <v>22</v>
      </c>
      <c r="J236" s="39">
        <v>4</v>
      </c>
    </row>
    <row r="237" spans="1:10" x14ac:dyDescent="0.35">
      <c r="A237" t="s">
        <v>119</v>
      </c>
      <c r="B237" s="39">
        <v>1</v>
      </c>
      <c r="I237" s="43" t="s">
        <v>87</v>
      </c>
      <c r="J237" s="39">
        <v>3</v>
      </c>
    </row>
    <row r="238" spans="1:10" x14ac:dyDescent="0.35">
      <c r="A238" t="s">
        <v>120</v>
      </c>
      <c r="B238" s="39">
        <v>1</v>
      </c>
      <c r="I238" s="43" t="s">
        <v>89</v>
      </c>
      <c r="J238" s="39">
        <v>1</v>
      </c>
    </row>
    <row r="239" spans="1:10" x14ac:dyDescent="0.35">
      <c r="A239" t="s">
        <v>193</v>
      </c>
      <c r="B239" s="39">
        <v>1</v>
      </c>
      <c r="I239" s="40" t="s">
        <v>23</v>
      </c>
      <c r="J239" s="39">
        <v>9</v>
      </c>
    </row>
    <row r="240" spans="1:10" x14ac:dyDescent="0.35">
      <c r="A240" t="s">
        <v>123</v>
      </c>
      <c r="B240" s="39">
        <v>1</v>
      </c>
      <c r="I240" s="43" t="s">
        <v>87</v>
      </c>
      <c r="J240" s="39">
        <v>3</v>
      </c>
    </row>
    <row r="241" spans="1:10" x14ac:dyDescent="0.35">
      <c r="A241" t="s">
        <v>124</v>
      </c>
      <c r="B241" s="39">
        <v>2</v>
      </c>
      <c r="I241" s="43" t="s">
        <v>89</v>
      </c>
      <c r="J241" s="39">
        <v>6</v>
      </c>
    </row>
    <row r="242" spans="1:10" x14ac:dyDescent="0.35">
      <c r="A242" t="s">
        <v>125</v>
      </c>
      <c r="B242" s="39">
        <v>1</v>
      </c>
      <c r="I242" s="40" t="s">
        <v>24</v>
      </c>
      <c r="J242" s="39">
        <v>4</v>
      </c>
    </row>
    <row r="243" spans="1:10" x14ac:dyDescent="0.35">
      <c r="A243" t="s">
        <v>126</v>
      </c>
      <c r="B243" s="39">
        <v>1</v>
      </c>
      <c r="I243" s="43" t="s">
        <v>87</v>
      </c>
      <c r="J243" s="39">
        <v>1</v>
      </c>
    </row>
    <row r="244" spans="1:10" x14ac:dyDescent="0.35">
      <c r="A244" t="s">
        <v>127</v>
      </c>
      <c r="B244" s="39">
        <v>1</v>
      </c>
      <c r="I244" s="43" t="s">
        <v>89</v>
      </c>
      <c r="J244" s="39">
        <v>3</v>
      </c>
    </row>
    <row r="245" spans="1:10" x14ac:dyDescent="0.35">
      <c r="A245" t="s">
        <v>128</v>
      </c>
      <c r="B245" s="39">
        <v>5</v>
      </c>
      <c r="I245" s="40" t="s">
        <v>25</v>
      </c>
      <c r="J245" s="39">
        <v>2</v>
      </c>
    </row>
    <row r="246" spans="1:10" x14ac:dyDescent="0.35">
      <c r="A246" t="s">
        <v>129</v>
      </c>
      <c r="B246" s="39">
        <v>3</v>
      </c>
      <c r="I246" s="43" t="s">
        <v>87</v>
      </c>
      <c r="J246" s="39">
        <v>2</v>
      </c>
    </row>
    <row r="247" spans="1:10" x14ac:dyDescent="0.35">
      <c r="A247" t="s">
        <v>130</v>
      </c>
      <c r="B247" s="39">
        <v>1</v>
      </c>
      <c r="I247" s="40" t="s">
        <v>26</v>
      </c>
      <c r="J247" s="39">
        <v>121</v>
      </c>
    </row>
    <row r="248" spans="1:10" x14ac:dyDescent="0.35">
      <c r="A248" t="s">
        <v>194</v>
      </c>
      <c r="B248" s="39">
        <v>1</v>
      </c>
    </row>
    <row r="249" spans="1:10" x14ac:dyDescent="0.35">
      <c r="A249" t="s">
        <v>131</v>
      </c>
      <c r="B249" s="39">
        <v>1</v>
      </c>
    </row>
    <row r="250" spans="1:10" x14ac:dyDescent="0.35">
      <c r="A250" t="s">
        <v>196</v>
      </c>
      <c r="B250" s="39">
        <v>1</v>
      </c>
    </row>
    <row r="251" spans="1:10" x14ac:dyDescent="0.35">
      <c r="A251" t="s">
        <v>132</v>
      </c>
      <c r="B251" s="39">
        <v>1</v>
      </c>
    </row>
    <row r="252" spans="1:10" x14ac:dyDescent="0.35">
      <c r="A252" t="s">
        <v>135</v>
      </c>
      <c r="B252" s="39">
        <v>1</v>
      </c>
    </row>
    <row r="253" spans="1:10" x14ac:dyDescent="0.35">
      <c r="A253" t="s">
        <v>138</v>
      </c>
      <c r="B253" s="39">
        <v>1</v>
      </c>
    </row>
    <row r="254" spans="1:10" x14ac:dyDescent="0.35">
      <c r="A254" t="s">
        <v>399</v>
      </c>
      <c r="B254" s="39">
        <v>1</v>
      </c>
    </row>
    <row r="255" spans="1:10" x14ac:dyDescent="0.35">
      <c r="A255" t="s">
        <v>400</v>
      </c>
      <c r="B255" s="39">
        <v>1</v>
      </c>
    </row>
    <row r="256" spans="1:10" x14ac:dyDescent="0.35">
      <c r="A256" t="s">
        <v>401</v>
      </c>
      <c r="B256" s="39">
        <v>2</v>
      </c>
    </row>
    <row r="267" spans="1:7" x14ac:dyDescent="0.35">
      <c r="A267" t="s">
        <v>250</v>
      </c>
    </row>
    <row r="271" spans="1:7" x14ac:dyDescent="0.35">
      <c r="A271" s="7" t="s">
        <v>29</v>
      </c>
      <c r="B271" s="7">
        <f>B124</f>
        <v>0</v>
      </c>
      <c r="C271" s="7" t="str">
        <f>IF(B151="(All)","Overall",B151)</f>
        <v>Overall</v>
      </c>
      <c r="D271" s="7"/>
      <c r="F271" s="7"/>
      <c r="G271" s="7"/>
    </row>
    <row r="272" spans="1:7" x14ac:dyDescent="0.35">
      <c r="A272" s="7"/>
      <c r="B272" s="7"/>
      <c r="C272" s="7"/>
      <c r="D272" s="7"/>
      <c r="F272" s="7"/>
      <c r="G272" s="7"/>
    </row>
    <row r="273" spans="1:14" ht="42" x14ac:dyDescent="0.35">
      <c r="A273" s="9" t="s">
        <v>8</v>
      </c>
      <c r="B273" s="21" t="s">
        <v>205</v>
      </c>
      <c r="C273" s="22" t="s">
        <v>206</v>
      </c>
      <c r="D273" s="23" t="s">
        <v>207</v>
      </c>
      <c r="E273" s="21" t="s">
        <v>208</v>
      </c>
      <c r="F273" s="22" t="s">
        <v>209</v>
      </c>
      <c r="G273" s="23" t="s">
        <v>210</v>
      </c>
      <c r="H273" s="21" t="s">
        <v>211</v>
      </c>
      <c r="I273" s="22" t="s">
        <v>212</v>
      </c>
      <c r="J273" s="23" t="s">
        <v>213</v>
      </c>
      <c r="K273" s="36" t="s">
        <v>10</v>
      </c>
      <c r="L273" s="37" t="s">
        <v>11</v>
      </c>
      <c r="M273" s="37" t="s">
        <v>12</v>
      </c>
      <c r="N273" s="38" t="s">
        <v>13</v>
      </c>
    </row>
    <row r="274" spans="1:14" x14ac:dyDescent="0.35">
      <c r="A274" t="s">
        <v>51</v>
      </c>
      <c r="B274" s="24"/>
      <c r="C274" s="25"/>
      <c r="D274" s="26"/>
      <c r="E274" s="24"/>
      <c r="F274" s="25"/>
      <c r="G274" s="26"/>
      <c r="H274" s="30"/>
      <c r="I274" s="31"/>
      <c r="J274" s="32"/>
      <c r="K274" s="30"/>
      <c r="L274" s="31"/>
      <c r="M274" s="31"/>
      <c r="N274" s="32"/>
    </row>
    <row r="275" spans="1:14" x14ac:dyDescent="0.35">
      <c r="A275" t="s">
        <v>14</v>
      </c>
      <c r="B275" s="24"/>
      <c r="C275" s="25"/>
      <c r="D275" s="26"/>
      <c r="E275" s="24"/>
      <c r="F275" s="25"/>
      <c r="G275" s="26"/>
      <c r="H275" s="30"/>
      <c r="I275" s="31"/>
      <c r="J275" s="32"/>
      <c r="K275" s="30"/>
      <c r="L275" s="31"/>
      <c r="M275" s="31"/>
      <c r="N275" s="32"/>
    </row>
    <row r="276" spans="1:14" x14ac:dyDescent="0.35">
      <c r="A276" t="s">
        <v>15</v>
      </c>
      <c r="B276" s="24"/>
      <c r="C276" s="25"/>
      <c r="D276" s="26"/>
      <c r="E276" s="24"/>
      <c r="F276" s="25"/>
      <c r="G276" s="26"/>
      <c r="H276" s="30"/>
      <c r="I276" s="31"/>
      <c r="J276" s="32"/>
      <c r="K276" s="30"/>
      <c r="L276" s="31"/>
      <c r="M276" s="31"/>
      <c r="N276" s="32"/>
    </row>
    <row r="277" spans="1:14" x14ac:dyDescent="0.35">
      <c r="A277" t="s">
        <v>16</v>
      </c>
      <c r="B277" s="24"/>
      <c r="C277" s="25"/>
      <c r="D277" s="26"/>
      <c r="E277" s="24"/>
      <c r="F277" s="25"/>
      <c r="G277" s="26"/>
      <c r="H277" s="30"/>
      <c r="I277" s="31"/>
      <c r="J277" s="32"/>
      <c r="K277" s="30"/>
      <c r="L277" s="31"/>
      <c r="M277" s="31"/>
      <c r="N277" s="32"/>
    </row>
    <row r="278" spans="1:14" x14ac:dyDescent="0.35">
      <c r="A278" t="s">
        <v>17</v>
      </c>
      <c r="B278" s="24"/>
      <c r="C278" s="25"/>
      <c r="D278" s="26"/>
      <c r="E278" s="24"/>
      <c r="F278" s="25"/>
      <c r="G278" s="26"/>
      <c r="H278" s="30"/>
      <c r="I278" s="31"/>
      <c r="J278" s="32"/>
      <c r="K278" s="30"/>
      <c r="L278" s="31"/>
      <c r="M278" s="31"/>
      <c r="N278" s="32"/>
    </row>
    <row r="279" spans="1:14" x14ac:dyDescent="0.35">
      <c r="A279" t="s">
        <v>18</v>
      </c>
      <c r="B279" s="24"/>
      <c r="C279" s="25"/>
      <c r="D279" s="26"/>
      <c r="E279" s="24"/>
      <c r="F279" s="25"/>
      <c r="G279" s="26"/>
      <c r="H279" s="30"/>
      <c r="I279" s="31"/>
      <c r="J279" s="32"/>
      <c r="K279" s="30"/>
      <c r="L279" s="31"/>
      <c r="M279" s="31"/>
      <c r="N279" s="32"/>
    </row>
    <row r="280" spans="1:14" x14ac:dyDescent="0.35">
      <c r="A280" t="s">
        <v>19</v>
      </c>
      <c r="B280" s="24"/>
      <c r="C280" s="25"/>
      <c r="D280" s="26"/>
      <c r="E280" s="24"/>
      <c r="F280" s="25"/>
      <c r="G280" s="26"/>
      <c r="H280" s="30"/>
      <c r="I280" s="31"/>
      <c r="J280" s="32"/>
      <c r="K280" s="30"/>
      <c r="L280" s="31"/>
      <c r="M280" s="31"/>
      <c r="N280" s="32"/>
    </row>
    <row r="281" spans="1:14" x14ac:dyDescent="0.35">
      <c r="A281" t="s">
        <v>20</v>
      </c>
      <c r="B281" s="24"/>
      <c r="C281" s="25"/>
      <c r="D281" s="26"/>
      <c r="E281" s="24"/>
      <c r="F281" s="25"/>
      <c r="G281" s="26"/>
      <c r="H281" s="30"/>
      <c r="I281" s="31"/>
      <c r="J281" s="32"/>
      <c r="K281" s="30"/>
      <c r="L281" s="31"/>
      <c r="M281" s="31"/>
      <c r="N281" s="32"/>
    </row>
    <row r="282" spans="1:14" x14ac:dyDescent="0.35">
      <c r="A282" t="s">
        <v>21</v>
      </c>
      <c r="B282" s="24"/>
      <c r="C282" s="25"/>
      <c r="D282" s="26"/>
      <c r="E282" s="24"/>
      <c r="F282" s="25"/>
      <c r="G282" s="26"/>
      <c r="H282" s="30"/>
      <c r="I282" s="31"/>
      <c r="J282" s="32"/>
      <c r="K282" s="30"/>
      <c r="L282" s="31"/>
      <c r="M282" s="31"/>
      <c r="N282" s="32"/>
    </row>
    <row r="283" spans="1:14" x14ac:dyDescent="0.35">
      <c r="A283" t="s">
        <v>22</v>
      </c>
      <c r="B283" s="24"/>
      <c r="C283" s="25"/>
      <c r="D283" s="26"/>
      <c r="E283" s="24"/>
      <c r="F283" s="25"/>
      <c r="G283" s="26"/>
      <c r="H283" s="30"/>
      <c r="I283" s="31"/>
      <c r="J283" s="32"/>
      <c r="K283" s="30"/>
      <c r="L283" s="31"/>
      <c r="M283" s="31"/>
      <c r="N283" s="32"/>
    </row>
    <row r="284" spans="1:14" x14ac:dyDescent="0.35">
      <c r="A284" t="s">
        <v>23</v>
      </c>
      <c r="B284" s="24"/>
      <c r="C284" s="25"/>
      <c r="D284" s="26"/>
      <c r="E284" s="24"/>
      <c r="F284" s="25"/>
      <c r="G284" s="26"/>
      <c r="H284" s="30"/>
      <c r="I284" s="31"/>
      <c r="J284" s="32"/>
      <c r="K284" s="30"/>
      <c r="L284" s="31"/>
      <c r="M284" s="31"/>
      <c r="N284" s="32"/>
    </row>
    <row r="285" spans="1:14" x14ac:dyDescent="0.35">
      <c r="A285" t="s">
        <v>24</v>
      </c>
      <c r="B285" s="24"/>
      <c r="C285" s="25"/>
      <c r="D285" s="26"/>
      <c r="E285" s="24"/>
      <c r="F285" s="25"/>
      <c r="G285" s="26"/>
      <c r="H285" s="30"/>
      <c r="I285" s="31"/>
      <c r="J285" s="32"/>
      <c r="K285" s="30"/>
      <c r="L285" s="31"/>
      <c r="M285" s="31"/>
      <c r="N285" s="32"/>
    </row>
    <row r="286" spans="1:14" x14ac:dyDescent="0.35">
      <c r="A286" t="s">
        <v>25</v>
      </c>
      <c r="B286" s="27"/>
      <c r="C286" s="28"/>
      <c r="D286" s="29"/>
      <c r="E286" s="27"/>
      <c r="F286" s="28"/>
      <c r="G286" s="29"/>
      <c r="H286" s="33"/>
      <c r="I286" s="34"/>
      <c r="J286" s="35"/>
      <c r="K286" s="33"/>
      <c r="L286" s="34"/>
      <c r="M286" s="34"/>
      <c r="N286" s="35"/>
    </row>
    <row r="287" spans="1:14" x14ac:dyDescent="0.35">
      <c r="A287" s="7"/>
      <c r="B287" s="10"/>
      <c r="C287" s="10"/>
      <c r="D287" s="10"/>
      <c r="E287" s="11"/>
      <c r="F287" s="11"/>
      <c r="G287" s="11"/>
      <c r="H287" s="11"/>
      <c r="I287" s="11"/>
      <c r="J287" s="11"/>
      <c r="K287" s="11"/>
      <c r="L287" s="11"/>
      <c r="M287" s="11"/>
      <c r="N287" s="11"/>
    </row>
  </sheetData>
  <pageMargins left="0.7" right="0.7" top="0.75" bottom="0.75" header="0.3" footer="0.3"/>
  <ignoredErrors>
    <ignoredError sqref="H34:H35 H36:H45" calculatedColumn="1"/>
  </ignoredErrors>
  <drawing r:id="rId25"/>
  <tableParts count="2">
    <tablePart r:id="rId26"/>
    <tablePart r:id="rId27"/>
  </tableParts>
  <extLst>
    <ext xmlns:x14="http://schemas.microsoft.com/office/spreadsheetml/2009/9/main" uri="{A8765BA9-456A-4dab-B4F3-ACF838C121DE}">
      <x14:slicerList>
        <x14:slicer r:id="rId2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E3D06-7886-4C56-ACBA-317FEF731B90}">
  <dimension ref="A1:DV232"/>
  <sheetViews>
    <sheetView topLeftCell="A7" zoomScale="88" zoomScaleNormal="88" workbookViewId="0">
      <selection activeCell="K80" sqref="K80"/>
    </sheetView>
  </sheetViews>
  <sheetFormatPr defaultRowHeight="14.5" x14ac:dyDescent="0.35"/>
  <cols>
    <col min="1" max="1" width="14.453125" bestFit="1" customWidth="1"/>
    <col min="2" max="2" width="17.6328125" bestFit="1" customWidth="1"/>
    <col min="3" max="3" width="12.6328125" bestFit="1" customWidth="1"/>
    <col min="4" max="4" width="17.453125" bestFit="1" customWidth="1"/>
    <col min="5" max="5" width="20.08984375" bestFit="1" customWidth="1"/>
    <col min="6" max="6" width="15" bestFit="1" customWidth="1"/>
    <col min="7" max="7" width="21.81640625" bestFit="1" customWidth="1"/>
    <col min="8" max="8" width="13" bestFit="1" customWidth="1"/>
    <col min="9" max="9" width="17.26953125" bestFit="1" customWidth="1"/>
    <col min="10" max="10" width="20.26953125" bestFit="1" customWidth="1"/>
    <col min="11" max="11" width="13" bestFit="1" customWidth="1"/>
    <col min="12" max="12" width="20.26953125" style="9" bestFit="1" customWidth="1"/>
    <col min="13" max="13" width="17.26953125" bestFit="1" customWidth="1"/>
    <col min="14" max="14" width="13" bestFit="1" customWidth="1"/>
    <col min="15" max="15" width="17.26953125" bestFit="1" customWidth="1"/>
    <col min="16" max="16" width="20.26953125" bestFit="1" customWidth="1"/>
    <col min="17" max="17" width="26.1796875" bestFit="1" customWidth="1"/>
    <col min="18" max="18" width="32" bestFit="1" customWidth="1"/>
    <col min="19" max="492" width="25.54296875" bestFit="1" customWidth="1"/>
    <col min="493" max="493" width="18.36328125" bestFit="1" customWidth="1"/>
    <col min="494" max="494" width="22.26953125" bestFit="1" customWidth="1"/>
    <col min="495" max="495" width="24.90625" bestFit="1" customWidth="1"/>
    <col min="496" max="496" width="19.81640625" bestFit="1" customWidth="1"/>
    <col min="497" max="497" width="26.6328125" bestFit="1" customWidth="1"/>
  </cols>
  <sheetData>
    <row r="1" spans="1:18" x14ac:dyDescent="0.35">
      <c r="A1" s="14" t="s">
        <v>3</v>
      </c>
      <c r="B1" t="s">
        <v>188</v>
      </c>
    </row>
    <row r="2" spans="1:18" x14ac:dyDescent="0.35">
      <c r="A2" s="14" t="s">
        <v>9</v>
      </c>
      <c r="B2" t="s">
        <v>16</v>
      </c>
    </row>
    <row r="4" spans="1:18" x14ac:dyDescent="0.35">
      <c r="A4" s="14" t="s">
        <v>0</v>
      </c>
      <c r="B4" s="14" t="s">
        <v>1</v>
      </c>
      <c r="C4" s="14" t="s">
        <v>2</v>
      </c>
      <c r="D4" t="s">
        <v>253</v>
      </c>
      <c r="E4" t="s">
        <v>252</v>
      </c>
      <c r="F4" t="s">
        <v>223</v>
      </c>
      <c r="G4" t="s">
        <v>254</v>
      </c>
      <c r="H4" s="72" t="s">
        <v>232</v>
      </c>
      <c r="I4" s="73" t="s">
        <v>233</v>
      </c>
      <c r="J4" s="74" t="s">
        <v>234</v>
      </c>
      <c r="K4" s="73" t="s">
        <v>238</v>
      </c>
      <c r="L4" s="73" t="s">
        <v>240</v>
      </c>
      <c r="M4" s="74" t="s">
        <v>239</v>
      </c>
      <c r="N4" s="73" t="s">
        <v>235</v>
      </c>
      <c r="O4" s="73" t="s">
        <v>236</v>
      </c>
      <c r="P4" s="74" t="s">
        <v>237</v>
      </c>
      <c r="Q4" t="s">
        <v>242</v>
      </c>
      <c r="R4" t="s">
        <v>243</v>
      </c>
    </row>
    <row r="5" spans="1:18" x14ac:dyDescent="0.35">
      <c r="A5" t="s">
        <v>285</v>
      </c>
      <c r="B5" t="s">
        <v>286</v>
      </c>
      <c r="C5" t="s">
        <v>32</v>
      </c>
      <c r="D5" s="39">
        <v>19500</v>
      </c>
      <c r="E5" s="39">
        <v>19500</v>
      </c>
      <c r="F5" s="39">
        <v>14500</v>
      </c>
      <c r="G5" s="39">
        <v>0</v>
      </c>
      <c r="H5" s="69">
        <v>9500</v>
      </c>
      <c r="I5" s="70">
        <v>9500</v>
      </c>
      <c r="J5" s="71">
        <v>0</v>
      </c>
      <c r="K5" s="70">
        <v>5000</v>
      </c>
      <c r="L5" s="70">
        <v>0</v>
      </c>
      <c r="M5" s="71">
        <v>5000</v>
      </c>
      <c r="N5" s="70">
        <v>5000</v>
      </c>
      <c r="O5" s="70">
        <v>0</v>
      </c>
      <c r="P5" s="71">
        <v>0</v>
      </c>
      <c r="Q5" s="39">
        <v>0</v>
      </c>
      <c r="R5" s="39">
        <v>0</v>
      </c>
    </row>
    <row r="6" spans="1:18" x14ac:dyDescent="0.35">
      <c r="A6" t="s">
        <v>287</v>
      </c>
      <c r="B6" t="s">
        <v>288</v>
      </c>
      <c r="C6" t="s">
        <v>32</v>
      </c>
      <c r="D6" s="39">
        <v>19500</v>
      </c>
      <c r="E6" s="39">
        <v>19500</v>
      </c>
      <c r="F6" s="39">
        <v>15500</v>
      </c>
      <c r="G6" s="39">
        <v>0</v>
      </c>
      <c r="H6" s="63">
        <v>9500</v>
      </c>
      <c r="I6" s="64">
        <v>10500</v>
      </c>
      <c r="J6" s="65">
        <v>-1000</v>
      </c>
      <c r="K6" s="64">
        <v>5000</v>
      </c>
      <c r="L6" s="64">
        <v>0</v>
      </c>
      <c r="M6" s="65">
        <v>5000</v>
      </c>
      <c r="N6" s="64">
        <v>5000</v>
      </c>
      <c r="O6" s="64">
        <v>0</v>
      </c>
      <c r="P6" s="65">
        <v>0</v>
      </c>
      <c r="Q6" s="39">
        <v>0</v>
      </c>
      <c r="R6" s="39">
        <v>0</v>
      </c>
    </row>
    <row r="7" spans="1:18" x14ac:dyDescent="0.35">
      <c r="A7" t="s">
        <v>289</v>
      </c>
      <c r="B7" t="s">
        <v>290</v>
      </c>
      <c r="C7" t="s">
        <v>249</v>
      </c>
      <c r="D7" s="39">
        <v>19500</v>
      </c>
      <c r="E7" s="39">
        <v>19500</v>
      </c>
      <c r="F7" s="39">
        <v>19500</v>
      </c>
      <c r="G7" s="39">
        <v>0</v>
      </c>
      <c r="H7" s="63">
        <v>9500</v>
      </c>
      <c r="I7" s="64">
        <v>9500</v>
      </c>
      <c r="J7" s="65">
        <v>0</v>
      </c>
      <c r="K7" s="64">
        <v>5000</v>
      </c>
      <c r="L7" s="64">
        <v>-5000</v>
      </c>
      <c r="M7" s="65">
        <v>10000</v>
      </c>
      <c r="N7" s="64">
        <v>5000</v>
      </c>
      <c r="O7" s="64">
        <v>0</v>
      </c>
      <c r="P7" s="65">
        <v>0</v>
      </c>
      <c r="Q7" s="39">
        <v>0</v>
      </c>
      <c r="R7" s="39">
        <v>0</v>
      </c>
    </row>
    <row r="8" spans="1:18" x14ac:dyDescent="0.35">
      <c r="A8" t="s">
        <v>178</v>
      </c>
      <c r="B8" t="s">
        <v>179</v>
      </c>
      <c r="C8" t="s">
        <v>32</v>
      </c>
      <c r="D8" s="39">
        <v>19500</v>
      </c>
      <c r="E8" s="39">
        <v>14625</v>
      </c>
      <c r="F8" s="39">
        <v>12000</v>
      </c>
      <c r="G8" s="39">
        <v>4875</v>
      </c>
      <c r="H8" s="63">
        <v>9500</v>
      </c>
      <c r="I8" s="64">
        <v>8000</v>
      </c>
      <c r="J8" s="65">
        <v>1500</v>
      </c>
      <c r="K8" s="64">
        <v>5000</v>
      </c>
      <c r="L8" s="64">
        <v>1000</v>
      </c>
      <c r="M8" s="65">
        <v>4000</v>
      </c>
      <c r="N8" s="64">
        <v>5000</v>
      </c>
      <c r="O8" s="64">
        <v>0</v>
      </c>
      <c r="P8" s="65">
        <v>0</v>
      </c>
      <c r="Q8" s="39">
        <v>0</v>
      </c>
      <c r="R8" s="39">
        <v>0</v>
      </c>
    </row>
    <row r="9" spans="1:18" x14ac:dyDescent="0.35">
      <c r="A9" t="s">
        <v>291</v>
      </c>
      <c r="B9" t="s">
        <v>292</v>
      </c>
      <c r="C9" t="s">
        <v>32</v>
      </c>
      <c r="D9" s="39">
        <v>19500</v>
      </c>
      <c r="E9" s="39">
        <v>19500</v>
      </c>
      <c r="F9" s="39">
        <v>19000</v>
      </c>
      <c r="G9" s="39">
        <v>0</v>
      </c>
      <c r="H9" s="63">
        <v>9500</v>
      </c>
      <c r="I9" s="64">
        <v>9500</v>
      </c>
      <c r="J9" s="65">
        <v>0</v>
      </c>
      <c r="K9" s="64">
        <v>5000</v>
      </c>
      <c r="L9" s="64">
        <v>0</v>
      </c>
      <c r="M9" s="65">
        <v>5000</v>
      </c>
      <c r="N9" s="64">
        <v>5000</v>
      </c>
      <c r="O9" s="64">
        <v>4500</v>
      </c>
      <c r="P9" s="65">
        <v>500</v>
      </c>
      <c r="Q9" s="39">
        <v>0</v>
      </c>
      <c r="R9" s="39">
        <v>0</v>
      </c>
    </row>
    <row r="10" spans="1:18" x14ac:dyDescent="0.35">
      <c r="A10" t="s">
        <v>293</v>
      </c>
      <c r="B10" t="s">
        <v>294</v>
      </c>
      <c r="C10" t="s">
        <v>32</v>
      </c>
      <c r="D10" s="39">
        <v>19500</v>
      </c>
      <c r="E10" s="39">
        <v>19500</v>
      </c>
      <c r="F10" s="39">
        <v>16050</v>
      </c>
      <c r="G10" s="39">
        <v>0</v>
      </c>
      <c r="H10" s="63">
        <v>9500</v>
      </c>
      <c r="I10" s="64">
        <v>8000</v>
      </c>
      <c r="J10" s="65">
        <v>1500</v>
      </c>
      <c r="K10" s="64">
        <v>5000</v>
      </c>
      <c r="L10" s="64">
        <v>-550</v>
      </c>
      <c r="M10" s="65">
        <v>5550</v>
      </c>
      <c r="N10" s="64">
        <v>5000</v>
      </c>
      <c r="O10" s="64">
        <v>0</v>
      </c>
      <c r="P10" s="65">
        <v>0</v>
      </c>
      <c r="Q10" s="39">
        <v>2500</v>
      </c>
      <c r="R10" s="39">
        <v>17000</v>
      </c>
    </row>
    <row r="11" spans="1:18" x14ac:dyDescent="0.35">
      <c r="A11" t="s">
        <v>295</v>
      </c>
      <c r="B11" t="s">
        <v>296</v>
      </c>
      <c r="C11" t="s">
        <v>32</v>
      </c>
      <c r="D11" s="39">
        <v>19500</v>
      </c>
      <c r="E11" s="39">
        <v>19500</v>
      </c>
      <c r="F11" s="39">
        <v>12000</v>
      </c>
      <c r="G11" s="39">
        <v>0</v>
      </c>
      <c r="H11" s="63">
        <v>9500</v>
      </c>
      <c r="I11" s="64">
        <v>2000</v>
      </c>
      <c r="J11" s="65">
        <v>7500</v>
      </c>
      <c r="K11" s="64">
        <v>5000</v>
      </c>
      <c r="L11" s="64">
        <v>-5000</v>
      </c>
      <c r="M11" s="65">
        <v>10000</v>
      </c>
      <c r="N11" s="64">
        <v>5000</v>
      </c>
      <c r="O11" s="64">
        <v>0</v>
      </c>
      <c r="P11" s="65">
        <v>0</v>
      </c>
      <c r="Q11" s="39">
        <v>0</v>
      </c>
      <c r="R11" s="39">
        <v>0</v>
      </c>
    </row>
    <row r="12" spans="1:18" x14ac:dyDescent="0.35">
      <c r="A12" t="s">
        <v>180</v>
      </c>
      <c r="B12" t="s">
        <v>181</v>
      </c>
      <c r="C12" t="s">
        <v>32</v>
      </c>
      <c r="D12" s="39">
        <v>19500</v>
      </c>
      <c r="E12" s="39">
        <v>19500</v>
      </c>
      <c r="F12" s="39">
        <v>10000</v>
      </c>
      <c r="G12" s="39">
        <v>0</v>
      </c>
      <c r="H12" s="63">
        <v>9500</v>
      </c>
      <c r="I12" s="64">
        <v>10000</v>
      </c>
      <c r="J12" s="65">
        <v>-500</v>
      </c>
      <c r="K12" s="64">
        <v>5000</v>
      </c>
      <c r="L12" s="64">
        <v>0</v>
      </c>
      <c r="M12" s="65">
        <v>0</v>
      </c>
      <c r="N12" s="64">
        <v>5000</v>
      </c>
      <c r="O12" s="64">
        <v>0</v>
      </c>
      <c r="P12" s="65">
        <v>0</v>
      </c>
      <c r="Q12" s="39">
        <v>0</v>
      </c>
      <c r="R12" s="39">
        <v>0</v>
      </c>
    </row>
    <row r="13" spans="1:18" x14ac:dyDescent="0.35">
      <c r="A13" t="s">
        <v>182</v>
      </c>
      <c r="B13" t="s">
        <v>183</v>
      </c>
      <c r="C13" t="s">
        <v>32</v>
      </c>
      <c r="D13" s="39">
        <v>19500</v>
      </c>
      <c r="E13" s="39">
        <v>14625</v>
      </c>
      <c r="F13" s="39">
        <v>12000</v>
      </c>
      <c r="G13" s="39">
        <v>4875</v>
      </c>
      <c r="H13" s="63">
        <v>9500</v>
      </c>
      <c r="I13" s="64">
        <v>7000</v>
      </c>
      <c r="J13" s="65">
        <v>2500</v>
      </c>
      <c r="K13" s="64">
        <v>5000</v>
      </c>
      <c r="L13" s="64">
        <v>0</v>
      </c>
      <c r="M13" s="65">
        <v>5000</v>
      </c>
      <c r="N13" s="64">
        <v>5000</v>
      </c>
      <c r="O13" s="64">
        <v>0</v>
      </c>
      <c r="P13" s="65">
        <v>0</v>
      </c>
      <c r="Q13" s="39">
        <v>0</v>
      </c>
      <c r="R13" s="39">
        <v>0</v>
      </c>
    </row>
    <row r="14" spans="1:18" x14ac:dyDescent="0.35">
      <c r="A14" t="s">
        <v>189</v>
      </c>
      <c r="B14" t="s">
        <v>190</v>
      </c>
      <c r="C14" t="s">
        <v>32</v>
      </c>
      <c r="D14" s="39">
        <v>19500</v>
      </c>
      <c r="E14" s="39">
        <v>19500</v>
      </c>
      <c r="F14" s="39">
        <v>19500</v>
      </c>
      <c r="G14" s="39">
        <v>0</v>
      </c>
      <c r="H14" s="63">
        <v>9500</v>
      </c>
      <c r="I14" s="64">
        <v>8000</v>
      </c>
      <c r="J14" s="65">
        <v>1500</v>
      </c>
      <c r="K14" s="64">
        <v>5000</v>
      </c>
      <c r="L14" s="64">
        <v>0</v>
      </c>
      <c r="M14" s="65">
        <v>0</v>
      </c>
      <c r="N14" s="64">
        <v>5000</v>
      </c>
      <c r="O14" s="64">
        <v>0</v>
      </c>
      <c r="P14" s="65">
        <v>0</v>
      </c>
      <c r="Q14" s="39">
        <v>11500</v>
      </c>
      <c r="R14" s="39">
        <v>8000</v>
      </c>
    </row>
    <row r="15" spans="1:18" x14ac:dyDescent="0.35">
      <c r="A15" t="s">
        <v>297</v>
      </c>
      <c r="B15" t="s">
        <v>298</v>
      </c>
      <c r="C15" t="s">
        <v>32</v>
      </c>
      <c r="D15" s="39">
        <v>19500</v>
      </c>
      <c r="E15" s="39">
        <v>19500</v>
      </c>
      <c r="F15" s="39">
        <v>16000</v>
      </c>
      <c r="G15" s="39">
        <v>0</v>
      </c>
      <c r="H15" s="63">
        <v>9500</v>
      </c>
      <c r="I15" s="64">
        <v>10000</v>
      </c>
      <c r="J15" s="65">
        <v>-500</v>
      </c>
      <c r="K15" s="64">
        <v>5000</v>
      </c>
      <c r="L15" s="64">
        <v>-1000</v>
      </c>
      <c r="M15" s="65">
        <v>6000</v>
      </c>
      <c r="N15" s="64">
        <v>5000</v>
      </c>
      <c r="O15" s="64">
        <v>0</v>
      </c>
      <c r="P15" s="65">
        <v>0</v>
      </c>
      <c r="Q15" s="39">
        <v>0</v>
      </c>
      <c r="R15" s="39">
        <v>0</v>
      </c>
    </row>
    <row r="16" spans="1:18" x14ac:dyDescent="0.35">
      <c r="A16" t="s">
        <v>299</v>
      </c>
      <c r="B16" t="s">
        <v>300</v>
      </c>
      <c r="C16" t="s">
        <v>32</v>
      </c>
      <c r="D16" s="39">
        <v>19500</v>
      </c>
      <c r="E16" s="39">
        <v>19500</v>
      </c>
      <c r="F16" s="39">
        <v>15000</v>
      </c>
      <c r="G16" s="39">
        <v>0</v>
      </c>
      <c r="H16" s="63">
        <v>9500</v>
      </c>
      <c r="I16" s="64">
        <v>9500</v>
      </c>
      <c r="J16" s="65">
        <v>0</v>
      </c>
      <c r="K16" s="64">
        <v>5000</v>
      </c>
      <c r="L16" s="64">
        <v>0</v>
      </c>
      <c r="M16" s="65">
        <v>0</v>
      </c>
      <c r="N16" s="64">
        <v>5000</v>
      </c>
      <c r="O16" s="64">
        <v>0</v>
      </c>
      <c r="P16" s="65">
        <v>0</v>
      </c>
      <c r="Q16" s="39">
        <v>5500</v>
      </c>
      <c r="R16" s="39">
        <v>14000</v>
      </c>
    </row>
    <row r="17" spans="1:18" x14ac:dyDescent="0.35">
      <c r="A17" t="s">
        <v>301</v>
      </c>
      <c r="B17" t="s">
        <v>302</v>
      </c>
      <c r="C17" t="s">
        <v>32</v>
      </c>
      <c r="D17" s="39">
        <v>19500</v>
      </c>
      <c r="E17" s="39">
        <v>19500</v>
      </c>
      <c r="F17" s="39">
        <v>16000</v>
      </c>
      <c r="G17" s="39">
        <v>0</v>
      </c>
      <c r="H17" s="63">
        <v>9500</v>
      </c>
      <c r="I17" s="64">
        <v>9000</v>
      </c>
      <c r="J17" s="65">
        <v>500</v>
      </c>
      <c r="K17" s="64">
        <v>5000</v>
      </c>
      <c r="L17" s="64">
        <v>0</v>
      </c>
      <c r="M17" s="65">
        <v>0</v>
      </c>
      <c r="N17" s="64">
        <v>5000</v>
      </c>
      <c r="O17" s="64">
        <v>0</v>
      </c>
      <c r="P17" s="65">
        <v>0</v>
      </c>
      <c r="Q17" s="39">
        <v>7000</v>
      </c>
      <c r="R17" s="39">
        <v>12500</v>
      </c>
    </row>
    <row r="18" spans="1:18" x14ac:dyDescent="0.35">
      <c r="A18" t="s">
        <v>303</v>
      </c>
      <c r="B18" t="s">
        <v>304</v>
      </c>
      <c r="C18" t="s">
        <v>249</v>
      </c>
      <c r="D18" s="39">
        <v>19500</v>
      </c>
      <c r="E18" s="39">
        <v>19500</v>
      </c>
      <c r="F18" s="39">
        <v>19500</v>
      </c>
      <c r="G18" s="39">
        <v>0</v>
      </c>
      <c r="H18" s="63">
        <v>9500</v>
      </c>
      <c r="I18" s="64">
        <v>5000</v>
      </c>
      <c r="J18" s="65">
        <v>4500</v>
      </c>
      <c r="K18" s="64">
        <v>5000</v>
      </c>
      <c r="L18" s="64">
        <v>-4000</v>
      </c>
      <c r="M18" s="65">
        <v>9000</v>
      </c>
      <c r="N18" s="64">
        <v>5000</v>
      </c>
      <c r="O18" s="64">
        <v>5500</v>
      </c>
      <c r="P18" s="65">
        <v>-500</v>
      </c>
      <c r="Q18" s="39">
        <v>0</v>
      </c>
      <c r="R18" s="39">
        <v>0</v>
      </c>
    </row>
    <row r="19" spans="1:18" x14ac:dyDescent="0.35">
      <c r="A19" t="s">
        <v>395</v>
      </c>
      <c r="B19" t="s">
        <v>396</v>
      </c>
      <c r="C19" t="s">
        <v>284</v>
      </c>
      <c r="D19" s="39">
        <v>19500</v>
      </c>
      <c r="E19" s="39">
        <v>0</v>
      </c>
      <c r="F19" s="39">
        <v>0</v>
      </c>
      <c r="G19" s="39">
        <v>0</v>
      </c>
      <c r="H19" s="63">
        <v>0</v>
      </c>
      <c r="I19" s="64">
        <v>0</v>
      </c>
      <c r="J19" s="65">
        <v>0</v>
      </c>
      <c r="K19" s="64">
        <v>0</v>
      </c>
      <c r="L19" s="64">
        <v>0</v>
      </c>
      <c r="M19" s="65">
        <v>0</v>
      </c>
      <c r="N19" s="64">
        <v>0</v>
      </c>
      <c r="O19" s="64">
        <v>0</v>
      </c>
      <c r="P19" s="65">
        <v>0</v>
      </c>
      <c r="Q19" s="39">
        <v>0</v>
      </c>
      <c r="R19" s="39">
        <v>0</v>
      </c>
    </row>
    <row r="20" spans="1:18" x14ac:dyDescent="0.35">
      <c r="A20" t="s">
        <v>26</v>
      </c>
      <c r="D20" s="39">
        <v>292500</v>
      </c>
      <c r="E20" s="39">
        <v>263250</v>
      </c>
      <c r="F20" s="39">
        <v>216550</v>
      </c>
      <c r="G20" s="39">
        <v>9750</v>
      </c>
      <c r="H20" s="66">
        <v>133000</v>
      </c>
      <c r="I20" s="67">
        <v>115500</v>
      </c>
      <c r="J20" s="68">
        <v>17500</v>
      </c>
      <c r="K20" s="67">
        <v>70000</v>
      </c>
      <c r="L20" s="67">
        <v>-14550</v>
      </c>
      <c r="M20" s="68">
        <v>64550</v>
      </c>
      <c r="N20" s="67">
        <v>70000</v>
      </c>
      <c r="O20" s="67">
        <v>10000</v>
      </c>
      <c r="P20" s="68">
        <v>0</v>
      </c>
      <c r="Q20" s="39">
        <v>26500</v>
      </c>
      <c r="R20" s="39">
        <v>51500</v>
      </c>
    </row>
    <row r="21" spans="1:18" x14ac:dyDescent="0.35">
      <c r="L21"/>
    </row>
    <row r="24" spans="1:18" hidden="1" x14ac:dyDescent="0.35"/>
    <row r="25" spans="1:18" hidden="1" x14ac:dyDescent="0.35"/>
    <row r="26" spans="1:18" hidden="1" x14ac:dyDescent="0.35">
      <c r="B26" t="s">
        <v>258</v>
      </c>
      <c r="C26" t="s">
        <v>255</v>
      </c>
      <c r="D26" t="s">
        <v>256</v>
      </c>
      <c r="E26" t="s">
        <v>257</v>
      </c>
      <c r="F26" t="s">
        <v>259</v>
      </c>
    </row>
    <row r="27" spans="1:18" hidden="1" x14ac:dyDescent="0.35">
      <c r="A27" s="40" t="s">
        <v>214</v>
      </c>
      <c r="B27">
        <v>36000</v>
      </c>
      <c r="C27">
        <v>0</v>
      </c>
      <c r="D27">
        <v>0</v>
      </c>
      <c r="E27">
        <v>0</v>
      </c>
      <c r="F27">
        <v>36000</v>
      </c>
    </row>
    <row r="28" spans="1:18" hidden="1" x14ac:dyDescent="0.35">
      <c r="A28" s="40" t="s">
        <v>14</v>
      </c>
      <c r="B28">
        <v>216750</v>
      </c>
      <c r="C28" s="46">
        <v>21250</v>
      </c>
      <c r="D28" s="46">
        <v>216750</v>
      </c>
      <c r="E28">
        <f>2*17000</f>
        <v>34000</v>
      </c>
      <c r="F28">
        <v>250750</v>
      </c>
    </row>
    <row r="29" spans="1:18" hidden="1" x14ac:dyDescent="0.35">
      <c r="A29" s="40" t="s">
        <v>15</v>
      </c>
      <c r="B29">
        <v>295250</v>
      </c>
      <c r="C29" s="46">
        <v>8750</v>
      </c>
      <c r="D29" s="46">
        <v>253750</v>
      </c>
      <c r="E29">
        <f>1*17500</f>
        <v>17500</v>
      </c>
      <c r="F29">
        <v>271250</v>
      </c>
    </row>
    <row r="30" spans="1:18" hidden="1" x14ac:dyDescent="0.35">
      <c r="A30" s="40" t="s">
        <v>16</v>
      </c>
      <c r="B30">
        <v>263250</v>
      </c>
      <c r="C30">
        <v>9750</v>
      </c>
      <c r="D30" s="46">
        <v>243750</v>
      </c>
      <c r="E30">
        <f>1*19500</f>
        <v>19500</v>
      </c>
      <c r="F30">
        <v>263250</v>
      </c>
    </row>
    <row r="31" spans="1:18" hidden="1" x14ac:dyDescent="0.35">
      <c r="A31" s="40" t="s">
        <v>17</v>
      </c>
      <c r="B31">
        <v>205000</v>
      </c>
      <c r="C31">
        <v>0</v>
      </c>
      <c r="D31" s="46">
        <v>184500</v>
      </c>
      <c r="E31">
        <f>1*20500</f>
        <v>20500</v>
      </c>
      <c r="F31">
        <v>205000</v>
      </c>
    </row>
    <row r="32" spans="1:18" hidden="1" x14ac:dyDescent="0.35">
      <c r="A32" s="40" t="s">
        <v>18</v>
      </c>
      <c r="B32">
        <v>174375</v>
      </c>
      <c r="C32" s="46">
        <v>5625</v>
      </c>
      <c r="D32" s="46">
        <v>174375</v>
      </c>
      <c r="E32" s="39">
        <f>1*22500</f>
        <v>22500</v>
      </c>
      <c r="F32">
        <v>196875</v>
      </c>
    </row>
    <row r="33" spans="1:11" hidden="1" x14ac:dyDescent="0.35">
      <c r="A33" s="40" t="s">
        <v>19</v>
      </c>
      <c r="B33">
        <v>252625</v>
      </c>
      <c r="C33" s="46">
        <v>5875</v>
      </c>
      <c r="D33" s="46">
        <v>252625</v>
      </c>
      <c r="E33">
        <f>0*23000</f>
        <v>0</v>
      </c>
      <c r="F33">
        <v>252625</v>
      </c>
    </row>
    <row r="34" spans="1:11" hidden="1" x14ac:dyDescent="0.35">
      <c r="A34" s="40" t="s">
        <v>20</v>
      </c>
      <c r="B34">
        <v>147000</v>
      </c>
      <c r="C34" s="47">
        <v>0</v>
      </c>
      <c r="D34" s="46">
        <v>73500</v>
      </c>
      <c r="E34">
        <f>4*24500</f>
        <v>98000</v>
      </c>
      <c r="F34">
        <v>171500</v>
      </c>
    </row>
    <row r="35" spans="1:11" hidden="1" x14ac:dyDescent="0.35">
      <c r="A35" s="40" t="s">
        <v>21</v>
      </c>
      <c r="B35">
        <v>253500</v>
      </c>
      <c r="C35">
        <v>6500</v>
      </c>
      <c r="D35" s="46">
        <v>205500</v>
      </c>
      <c r="E35">
        <f>2*26500</f>
        <v>53000</v>
      </c>
      <c r="F35">
        <v>258500</v>
      </c>
    </row>
    <row r="36" spans="1:11" hidden="1" x14ac:dyDescent="0.35">
      <c r="A36" s="40" t="s">
        <v>22</v>
      </c>
      <c r="B36">
        <v>82500</v>
      </c>
      <c r="C36">
        <v>0</v>
      </c>
      <c r="D36" s="46">
        <v>82500</v>
      </c>
      <c r="E36">
        <f>0*27500</f>
        <v>0</v>
      </c>
      <c r="F36">
        <v>82500</v>
      </c>
    </row>
    <row r="37" spans="1:11" hidden="1" x14ac:dyDescent="0.35">
      <c r="A37" s="40" t="s">
        <v>23</v>
      </c>
      <c r="B37">
        <v>261000</v>
      </c>
      <c r="C37">
        <v>0</v>
      </c>
      <c r="D37" s="46">
        <v>236000</v>
      </c>
      <c r="E37">
        <f>1*29500</f>
        <v>29500</v>
      </c>
      <c r="F37">
        <v>265500</v>
      </c>
    </row>
    <row r="38" spans="1:11" hidden="1" x14ac:dyDescent="0.35">
      <c r="A38" s="40" t="s">
        <v>24</v>
      </c>
      <c r="B38">
        <v>126000</v>
      </c>
      <c r="C38">
        <v>0</v>
      </c>
      <c r="D38" s="46">
        <v>126000</v>
      </c>
      <c r="E38">
        <f>0*31500</f>
        <v>0</v>
      </c>
      <c r="F38">
        <v>126000</v>
      </c>
    </row>
    <row r="39" spans="1:11" hidden="1" x14ac:dyDescent="0.35">
      <c r="A39" s="40" t="s">
        <v>25</v>
      </c>
      <c r="B39">
        <v>66000</v>
      </c>
      <c r="C39">
        <v>0</v>
      </c>
      <c r="D39" s="46">
        <v>66000</v>
      </c>
      <c r="E39">
        <f>0*33000</f>
        <v>0</v>
      </c>
      <c r="F39">
        <v>66000</v>
      </c>
    </row>
    <row r="40" spans="1:11" hidden="1" x14ac:dyDescent="0.35">
      <c r="F40">
        <v>2445750</v>
      </c>
    </row>
    <row r="41" spans="1:11" hidden="1" x14ac:dyDescent="0.35"/>
    <row r="42" spans="1:11" hidden="1" x14ac:dyDescent="0.35"/>
    <row r="43" spans="1:11" hidden="1" x14ac:dyDescent="0.35"/>
    <row r="44" spans="1:11" hidden="1" x14ac:dyDescent="0.35"/>
    <row r="45" spans="1:11" hidden="1" x14ac:dyDescent="0.35">
      <c r="B45" t="s">
        <v>228</v>
      </c>
      <c r="C45" t="s">
        <v>224</v>
      </c>
      <c r="D45" s="49" t="s">
        <v>260</v>
      </c>
      <c r="E45" t="s">
        <v>257</v>
      </c>
      <c r="F45" t="s">
        <v>262</v>
      </c>
      <c r="G45" t="s">
        <v>263</v>
      </c>
      <c r="H45" s="50"/>
      <c r="J45" t="s">
        <v>264</v>
      </c>
      <c r="K45" t="s">
        <v>265</v>
      </c>
    </row>
    <row r="46" spans="1:11" hidden="1" x14ac:dyDescent="0.35">
      <c r="A46" s="40" t="s">
        <v>214</v>
      </c>
      <c r="B46">
        <v>0</v>
      </c>
      <c r="C46">
        <v>36000</v>
      </c>
      <c r="D46">
        <f>B46+C46</f>
        <v>36000</v>
      </c>
      <c r="E46">
        <v>0</v>
      </c>
      <c r="F46">
        <f>D46-E46</f>
        <v>36000</v>
      </c>
      <c r="G46">
        <v>0</v>
      </c>
      <c r="H46" s="50">
        <f>F46-G46</f>
        <v>36000</v>
      </c>
      <c r="J46">
        <v>36000</v>
      </c>
      <c r="K46">
        <f>H46-J46</f>
        <v>0</v>
      </c>
    </row>
    <row r="47" spans="1:11" hidden="1" x14ac:dyDescent="0.35">
      <c r="A47" s="40" t="s">
        <v>14</v>
      </c>
      <c r="B47">
        <v>238000</v>
      </c>
      <c r="C47">
        <v>34000</v>
      </c>
      <c r="D47">
        <f t="shared" ref="D47:D59" si="0">B47+C47</f>
        <v>272000</v>
      </c>
      <c r="E47">
        <f>2*17000</f>
        <v>34000</v>
      </c>
      <c r="F47">
        <f t="shared" ref="F47:F59" si="1">D47-E47</f>
        <v>238000</v>
      </c>
      <c r="G47" s="46">
        <v>21250</v>
      </c>
      <c r="H47" s="50">
        <f t="shared" ref="H47:H59" si="2">F47-G47</f>
        <v>216750</v>
      </c>
      <c r="J47">
        <v>216750</v>
      </c>
      <c r="K47">
        <f t="shared" ref="K47:K59" si="3">H47-J47</f>
        <v>0</v>
      </c>
    </row>
    <row r="48" spans="1:11" hidden="1" x14ac:dyDescent="0.35">
      <c r="A48" s="40" t="s">
        <v>15</v>
      </c>
      <c r="B48">
        <v>262500</v>
      </c>
      <c r="C48">
        <v>17500</v>
      </c>
      <c r="D48">
        <f t="shared" si="0"/>
        <v>280000</v>
      </c>
      <c r="E48">
        <f>1*17500</f>
        <v>17500</v>
      </c>
      <c r="F48">
        <f t="shared" si="1"/>
        <v>262500</v>
      </c>
      <c r="G48" s="46">
        <v>8750</v>
      </c>
      <c r="H48" s="50">
        <f t="shared" si="2"/>
        <v>253750</v>
      </c>
      <c r="J48">
        <v>295250</v>
      </c>
      <c r="K48">
        <f t="shared" si="3"/>
        <v>-41500</v>
      </c>
    </row>
    <row r="49" spans="1:12" hidden="1" x14ac:dyDescent="0.35">
      <c r="A49" s="40" t="s">
        <v>16</v>
      </c>
      <c r="B49">
        <v>253500</v>
      </c>
      <c r="C49">
        <v>19500</v>
      </c>
      <c r="D49">
        <f t="shared" si="0"/>
        <v>273000</v>
      </c>
      <c r="E49">
        <f>1*19500</f>
        <v>19500</v>
      </c>
      <c r="F49">
        <f t="shared" si="1"/>
        <v>253500</v>
      </c>
      <c r="G49">
        <v>9750</v>
      </c>
      <c r="H49" s="50">
        <f t="shared" si="2"/>
        <v>243750</v>
      </c>
      <c r="J49">
        <v>263250</v>
      </c>
      <c r="K49">
        <f t="shared" si="3"/>
        <v>-19500</v>
      </c>
    </row>
    <row r="50" spans="1:12" hidden="1" x14ac:dyDescent="0.35">
      <c r="A50" s="40" t="s">
        <v>17</v>
      </c>
      <c r="B50">
        <v>184500</v>
      </c>
      <c r="C50">
        <v>20500</v>
      </c>
      <c r="D50">
        <f t="shared" si="0"/>
        <v>205000</v>
      </c>
      <c r="E50">
        <f>1*20500</f>
        <v>20500</v>
      </c>
      <c r="F50">
        <f t="shared" si="1"/>
        <v>184500</v>
      </c>
      <c r="G50">
        <v>0</v>
      </c>
      <c r="H50" s="50">
        <f t="shared" si="2"/>
        <v>184500</v>
      </c>
      <c r="J50">
        <v>205000</v>
      </c>
      <c r="K50">
        <f t="shared" si="3"/>
        <v>-20500</v>
      </c>
    </row>
    <row r="51" spans="1:12" hidden="1" x14ac:dyDescent="0.35">
      <c r="A51" s="40" t="s">
        <v>18</v>
      </c>
      <c r="B51">
        <v>180000</v>
      </c>
      <c r="C51">
        <v>22500</v>
      </c>
      <c r="D51">
        <f t="shared" si="0"/>
        <v>202500</v>
      </c>
      <c r="E51" s="39">
        <f>1*22500</f>
        <v>22500</v>
      </c>
      <c r="F51">
        <f t="shared" si="1"/>
        <v>180000</v>
      </c>
      <c r="G51" s="46">
        <v>5625</v>
      </c>
      <c r="H51" s="50">
        <f t="shared" si="2"/>
        <v>174375</v>
      </c>
      <c r="J51">
        <v>174375</v>
      </c>
      <c r="K51">
        <f t="shared" si="3"/>
        <v>0</v>
      </c>
    </row>
    <row r="52" spans="1:12" hidden="1" x14ac:dyDescent="0.35">
      <c r="A52" s="40" t="s">
        <v>19</v>
      </c>
      <c r="B52">
        <v>258500</v>
      </c>
      <c r="C52">
        <v>0</v>
      </c>
      <c r="D52">
        <f t="shared" si="0"/>
        <v>258500</v>
      </c>
      <c r="E52">
        <f>0*23000</f>
        <v>0</v>
      </c>
      <c r="F52">
        <f t="shared" si="1"/>
        <v>258500</v>
      </c>
      <c r="G52" s="46">
        <v>5875</v>
      </c>
      <c r="H52" s="50">
        <f t="shared" si="2"/>
        <v>252625</v>
      </c>
      <c r="J52">
        <v>252625</v>
      </c>
      <c r="K52">
        <f t="shared" si="3"/>
        <v>0</v>
      </c>
    </row>
    <row r="53" spans="1:12" hidden="1" x14ac:dyDescent="0.35">
      <c r="A53" s="40" t="s">
        <v>20</v>
      </c>
      <c r="B53">
        <v>73500</v>
      </c>
      <c r="C53">
        <v>98000</v>
      </c>
      <c r="D53">
        <f t="shared" si="0"/>
        <v>171500</v>
      </c>
      <c r="E53">
        <f>4*24500</f>
        <v>98000</v>
      </c>
      <c r="F53">
        <f t="shared" si="1"/>
        <v>73500</v>
      </c>
      <c r="G53" s="47">
        <v>0</v>
      </c>
      <c r="H53" s="50">
        <f t="shared" si="2"/>
        <v>73500</v>
      </c>
      <c r="J53">
        <v>147000</v>
      </c>
      <c r="K53">
        <f t="shared" si="3"/>
        <v>-73500</v>
      </c>
    </row>
    <row r="54" spans="1:12" hidden="1" x14ac:dyDescent="0.35">
      <c r="A54" s="40" t="s">
        <v>21</v>
      </c>
      <c r="B54">
        <v>212000</v>
      </c>
      <c r="C54">
        <v>53000</v>
      </c>
      <c r="D54">
        <f t="shared" si="0"/>
        <v>265000</v>
      </c>
      <c r="E54">
        <f>2*26500</f>
        <v>53000</v>
      </c>
      <c r="F54">
        <f t="shared" si="1"/>
        <v>212000</v>
      </c>
      <c r="G54">
        <v>6500</v>
      </c>
      <c r="H54" s="50">
        <f t="shared" si="2"/>
        <v>205500</v>
      </c>
      <c r="J54">
        <v>253500</v>
      </c>
      <c r="K54">
        <f t="shared" si="3"/>
        <v>-48000</v>
      </c>
    </row>
    <row r="55" spans="1:12" hidden="1" x14ac:dyDescent="0.35">
      <c r="A55" s="40" t="s">
        <v>22</v>
      </c>
      <c r="B55">
        <v>82500</v>
      </c>
      <c r="C55">
        <v>0</v>
      </c>
      <c r="D55">
        <f t="shared" si="0"/>
        <v>82500</v>
      </c>
      <c r="E55">
        <f>0*27500</f>
        <v>0</v>
      </c>
      <c r="F55">
        <f t="shared" si="1"/>
        <v>82500</v>
      </c>
      <c r="G55">
        <v>0</v>
      </c>
      <c r="H55" s="50">
        <f t="shared" si="2"/>
        <v>82500</v>
      </c>
      <c r="J55">
        <v>82500</v>
      </c>
      <c r="K55">
        <f t="shared" si="3"/>
        <v>0</v>
      </c>
    </row>
    <row r="56" spans="1:12" hidden="1" x14ac:dyDescent="0.35">
      <c r="A56" s="40" t="s">
        <v>23</v>
      </c>
      <c r="B56">
        <v>236000</v>
      </c>
      <c r="C56">
        <v>29500</v>
      </c>
      <c r="D56">
        <f t="shared" si="0"/>
        <v>265500</v>
      </c>
      <c r="E56">
        <f>1*29500</f>
        <v>29500</v>
      </c>
      <c r="F56">
        <f t="shared" si="1"/>
        <v>236000</v>
      </c>
      <c r="G56">
        <v>0</v>
      </c>
      <c r="H56" s="50">
        <f t="shared" si="2"/>
        <v>236000</v>
      </c>
      <c r="J56">
        <v>261000</v>
      </c>
      <c r="K56">
        <f t="shared" si="3"/>
        <v>-25000</v>
      </c>
    </row>
    <row r="57" spans="1:12" hidden="1" x14ac:dyDescent="0.35">
      <c r="A57" s="40" t="s">
        <v>24</v>
      </c>
      <c r="B57">
        <v>126000</v>
      </c>
      <c r="C57">
        <v>0</v>
      </c>
      <c r="D57">
        <f t="shared" si="0"/>
        <v>126000</v>
      </c>
      <c r="E57">
        <f>0*31500</f>
        <v>0</v>
      </c>
      <c r="F57">
        <f t="shared" si="1"/>
        <v>126000</v>
      </c>
      <c r="G57">
        <v>0</v>
      </c>
      <c r="H57" s="50">
        <f t="shared" si="2"/>
        <v>126000</v>
      </c>
      <c r="J57">
        <v>126000</v>
      </c>
      <c r="K57">
        <f t="shared" si="3"/>
        <v>0</v>
      </c>
    </row>
    <row r="58" spans="1:12" hidden="1" x14ac:dyDescent="0.35">
      <c r="A58" s="40" t="s">
        <v>25</v>
      </c>
      <c r="B58">
        <v>66000</v>
      </c>
      <c r="C58">
        <v>0</v>
      </c>
      <c r="D58">
        <f t="shared" si="0"/>
        <v>66000</v>
      </c>
      <c r="E58">
        <f>0*33000</f>
        <v>0</v>
      </c>
      <c r="F58">
        <f t="shared" si="1"/>
        <v>66000</v>
      </c>
      <c r="G58">
        <v>0</v>
      </c>
      <c r="H58" s="50">
        <f t="shared" si="2"/>
        <v>66000</v>
      </c>
      <c r="J58">
        <v>66000</v>
      </c>
      <c r="K58">
        <f t="shared" si="3"/>
        <v>0</v>
      </c>
    </row>
    <row r="59" spans="1:12" s="45" customFormat="1" hidden="1" x14ac:dyDescent="0.35">
      <c r="A59" s="48" t="s">
        <v>261</v>
      </c>
      <c r="B59" s="45">
        <v>2173000</v>
      </c>
      <c r="C59" s="45">
        <v>330500</v>
      </c>
      <c r="D59" s="45">
        <f t="shared" si="0"/>
        <v>2503500</v>
      </c>
      <c r="E59" s="45">
        <f>SUM(E46:E58)</f>
        <v>294500</v>
      </c>
      <c r="F59" s="45">
        <f t="shared" si="1"/>
        <v>2209000</v>
      </c>
      <c r="G59" s="45">
        <f>SUM(G46:G58)</f>
        <v>57750</v>
      </c>
      <c r="H59" s="50">
        <f t="shared" si="2"/>
        <v>2151250</v>
      </c>
      <c r="J59" s="45">
        <f>SUM(J46:J58)</f>
        <v>2379250</v>
      </c>
      <c r="K59">
        <f t="shared" si="3"/>
        <v>-228000</v>
      </c>
      <c r="L59" s="52"/>
    </row>
    <row r="60" spans="1:12" hidden="1" x14ac:dyDescent="0.35"/>
    <row r="61" spans="1:12" hidden="1" x14ac:dyDescent="0.35"/>
    <row r="62" spans="1:12" hidden="1" x14ac:dyDescent="0.35"/>
    <row r="63" spans="1:12" hidden="1" x14ac:dyDescent="0.35"/>
    <row r="64" spans="1:12" hidden="1" x14ac:dyDescent="0.35"/>
    <row r="66" spans="1:12" s="9" customFormat="1" ht="43.5" customHeight="1" x14ac:dyDescent="0.35">
      <c r="A66" s="52"/>
      <c r="B66" s="52" t="s">
        <v>230</v>
      </c>
      <c r="C66" s="52" t="s">
        <v>266</v>
      </c>
      <c r="D66" s="52" t="s">
        <v>267</v>
      </c>
      <c r="E66" s="52" t="s">
        <v>273</v>
      </c>
      <c r="F66" s="52" t="s">
        <v>268</v>
      </c>
      <c r="G66" s="52" t="s">
        <v>269</v>
      </c>
      <c r="H66" s="52" t="s">
        <v>270</v>
      </c>
      <c r="I66" s="52" t="s">
        <v>272</v>
      </c>
      <c r="J66" s="54" t="s">
        <v>271</v>
      </c>
      <c r="K66" s="55" t="s">
        <v>264</v>
      </c>
      <c r="L66" s="52"/>
    </row>
    <row r="67" spans="1:12" x14ac:dyDescent="0.35">
      <c r="A67" s="40" t="s">
        <v>214</v>
      </c>
      <c r="B67">
        <v>3</v>
      </c>
      <c r="C67">
        <v>12000</v>
      </c>
      <c r="D67">
        <f>B67*C67</f>
        <v>36000</v>
      </c>
      <c r="E67">
        <v>0</v>
      </c>
      <c r="F67">
        <f t="shared" ref="F67:F78" si="4">-E67*C67</f>
        <v>0</v>
      </c>
      <c r="G67">
        <v>0</v>
      </c>
      <c r="H67">
        <v>0</v>
      </c>
      <c r="I67">
        <f t="shared" ref="I67:I79" si="5">G67*H67</f>
        <v>0</v>
      </c>
      <c r="J67" s="56">
        <f t="shared" ref="J67:J79" si="6">D67+F67+I67</f>
        <v>36000</v>
      </c>
      <c r="K67" s="56">
        <v>36000</v>
      </c>
      <c r="L67" s="9" t="s">
        <v>276</v>
      </c>
    </row>
    <row r="68" spans="1:12" x14ac:dyDescent="0.35">
      <c r="A68" s="40" t="s">
        <v>14</v>
      </c>
      <c r="B68">
        <v>15</v>
      </c>
      <c r="C68">
        <v>17000</v>
      </c>
      <c r="D68">
        <f>B68*C68</f>
        <v>255000</v>
      </c>
      <c r="E68">
        <v>1</v>
      </c>
      <c r="F68">
        <v>-17000</v>
      </c>
      <c r="G68">
        <v>5</v>
      </c>
      <c r="H68">
        <v>-4250</v>
      </c>
      <c r="I68">
        <f t="shared" si="5"/>
        <v>-21250</v>
      </c>
      <c r="J68" s="56">
        <f t="shared" si="6"/>
        <v>216750</v>
      </c>
      <c r="K68" s="56">
        <v>216750</v>
      </c>
      <c r="L68" s="9" t="s">
        <v>276</v>
      </c>
    </row>
    <row r="69" spans="1:12" x14ac:dyDescent="0.35">
      <c r="A69" s="40" t="s">
        <v>15</v>
      </c>
      <c r="B69">
        <v>16</v>
      </c>
      <c r="C69">
        <f>17500</f>
        <v>17500</v>
      </c>
      <c r="D69">
        <f t="shared" ref="D69:D79" si="7">B69*C69</f>
        <v>280000</v>
      </c>
      <c r="E69">
        <v>1</v>
      </c>
      <c r="F69">
        <f>-E69*C69</f>
        <v>-17500</v>
      </c>
      <c r="G69">
        <v>2</v>
      </c>
      <c r="H69">
        <f>-4375</f>
        <v>-4375</v>
      </c>
      <c r="I69">
        <f>G69*H69</f>
        <v>-8750</v>
      </c>
      <c r="J69" s="57">
        <f>D69+F69+I69</f>
        <v>253750</v>
      </c>
      <c r="K69" s="58">
        <v>295250</v>
      </c>
      <c r="L69" s="53" t="s">
        <v>274</v>
      </c>
    </row>
    <row r="70" spans="1:12" ht="29" x14ac:dyDescent="0.35">
      <c r="A70" s="40" t="s">
        <v>16</v>
      </c>
      <c r="B70">
        <v>14</v>
      </c>
      <c r="C70">
        <v>19500</v>
      </c>
      <c r="D70" s="51">
        <f t="shared" si="7"/>
        <v>273000</v>
      </c>
      <c r="E70">
        <v>1</v>
      </c>
      <c r="F70" s="51">
        <f t="shared" si="4"/>
        <v>-19500</v>
      </c>
      <c r="G70">
        <v>2</v>
      </c>
      <c r="H70">
        <v>-4875</v>
      </c>
      <c r="I70" s="51">
        <f t="shared" si="5"/>
        <v>-9750</v>
      </c>
      <c r="J70" s="57">
        <f t="shared" si="6"/>
        <v>243750</v>
      </c>
      <c r="K70" s="58">
        <v>263250</v>
      </c>
      <c r="L70" s="53" t="s">
        <v>275</v>
      </c>
    </row>
    <row r="71" spans="1:12" ht="29" x14ac:dyDescent="0.35">
      <c r="A71" s="40" t="s">
        <v>17</v>
      </c>
      <c r="B71">
        <v>10</v>
      </c>
      <c r="C71">
        <v>20500</v>
      </c>
      <c r="D71" s="51">
        <f t="shared" si="7"/>
        <v>205000</v>
      </c>
      <c r="E71">
        <v>1</v>
      </c>
      <c r="F71" s="51">
        <f t="shared" si="4"/>
        <v>-20500</v>
      </c>
      <c r="G71">
        <v>0</v>
      </c>
      <c r="H71">
        <v>0</v>
      </c>
      <c r="I71">
        <f t="shared" si="5"/>
        <v>0</v>
      </c>
      <c r="J71" s="57">
        <f t="shared" si="6"/>
        <v>184500</v>
      </c>
      <c r="K71" s="58">
        <v>205000</v>
      </c>
      <c r="L71" s="53" t="s">
        <v>275</v>
      </c>
    </row>
    <row r="72" spans="1:12" x14ac:dyDescent="0.35">
      <c r="A72" s="40" t="s">
        <v>18</v>
      </c>
      <c r="B72">
        <v>9</v>
      </c>
      <c r="C72">
        <v>22500</v>
      </c>
      <c r="D72">
        <f t="shared" si="7"/>
        <v>202500</v>
      </c>
      <c r="E72">
        <v>1</v>
      </c>
      <c r="F72">
        <f t="shared" si="4"/>
        <v>-22500</v>
      </c>
      <c r="G72">
        <v>1</v>
      </c>
      <c r="H72">
        <v>-5625</v>
      </c>
      <c r="I72">
        <f t="shared" si="5"/>
        <v>-5625</v>
      </c>
      <c r="J72" s="56">
        <f t="shared" si="6"/>
        <v>174375</v>
      </c>
      <c r="K72" s="56">
        <v>174375</v>
      </c>
      <c r="L72" s="9" t="s">
        <v>276</v>
      </c>
    </row>
    <row r="73" spans="1:12" x14ac:dyDescent="0.35">
      <c r="A73" s="40" t="s">
        <v>19</v>
      </c>
      <c r="B73">
        <v>11</v>
      </c>
      <c r="C73">
        <v>23500</v>
      </c>
      <c r="D73">
        <f t="shared" si="7"/>
        <v>258500</v>
      </c>
      <c r="E73">
        <v>0</v>
      </c>
      <c r="F73">
        <f t="shared" si="4"/>
        <v>0</v>
      </c>
      <c r="G73">
        <v>1</v>
      </c>
      <c r="H73">
        <f>-5875</f>
        <v>-5875</v>
      </c>
      <c r="I73">
        <f t="shared" si="5"/>
        <v>-5875</v>
      </c>
      <c r="J73" s="56">
        <f t="shared" si="6"/>
        <v>252625</v>
      </c>
      <c r="K73" s="56">
        <v>252625</v>
      </c>
      <c r="L73" s="9" t="s">
        <v>276</v>
      </c>
    </row>
    <row r="74" spans="1:12" ht="29" x14ac:dyDescent="0.35">
      <c r="A74" s="40" t="s">
        <v>20</v>
      </c>
      <c r="B74">
        <v>7</v>
      </c>
      <c r="C74">
        <v>24500</v>
      </c>
      <c r="D74">
        <f t="shared" si="7"/>
        <v>171500</v>
      </c>
      <c r="E74">
        <v>4</v>
      </c>
      <c r="F74">
        <f t="shared" si="4"/>
        <v>-98000</v>
      </c>
      <c r="G74">
        <v>0</v>
      </c>
      <c r="H74">
        <v>0</v>
      </c>
      <c r="I74">
        <f t="shared" si="5"/>
        <v>0</v>
      </c>
      <c r="J74" s="57">
        <f t="shared" si="6"/>
        <v>73500</v>
      </c>
      <c r="K74" s="58">
        <v>147000</v>
      </c>
      <c r="L74" s="53" t="s">
        <v>277</v>
      </c>
    </row>
    <row r="75" spans="1:12" ht="29" x14ac:dyDescent="0.35">
      <c r="A75" s="40" t="s">
        <v>21</v>
      </c>
      <c r="B75">
        <v>10</v>
      </c>
      <c r="C75">
        <v>26000</v>
      </c>
      <c r="D75" s="51">
        <f t="shared" si="7"/>
        <v>260000</v>
      </c>
      <c r="E75">
        <v>2</v>
      </c>
      <c r="F75" s="51">
        <f t="shared" si="4"/>
        <v>-52000</v>
      </c>
      <c r="G75">
        <v>1</v>
      </c>
      <c r="H75">
        <f>-6500</f>
        <v>-6500</v>
      </c>
      <c r="I75" s="51">
        <f t="shared" si="5"/>
        <v>-6500</v>
      </c>
      <c r="J75" s="57">
        <f t="shared" si="6"/>
        <v>201500</v>
      </c>
      <c r="K75" s="58">
        <v>253500</v>
      </c>
      <c r="L75" s="53" t="s">
        <v>275</v>
      </c>
    </row>
    <row r="76" spans="1:12" x14ac:dyDescent="0.35">
      <c r="A76" s="40" t="s">
        <v>22</v>
      </c>
      <c r="B76">
        <v>3</v>
      </c>
      <c r="C76">
        <v>27500</v>
      </c>
      <c r="D76">
        <f t="shared" si="7"/>
        <v>82500</v>
      </c>
      <c r="E76">
        <v>0</v>
      </c>
      <c r="F76">
        <f t="shared" si="4"/>
        <v>0</v>
      </c>
      <c r="G76">
        <v>0</v>
      </c>
      <c r="H76">
        <v>0</v>
      </c>
      <c r="I76">
        <f t="shared" si="5"/>
        <v>0</v>
      </c>
      <c r="J76" s="56">
        <f t="shared" si="6"/>
        <v>82500</v>
      </c>
      <c r="K76" s="56">
        <v>82500</v>
      </c>
      <c r="L76" s="9" t="s">
        <v>276</v>
      </c>
    </row>
    <row r="77" spans="1:12" ht="29" x14ac:dyDescent="0.35">
      <c r="A77" s="40" t="s">
        <v>23</v>
      </c>
      <c r="B77">
        <v>9</v>
      </c>
      <c r="C77">
        <v>29000</v>
      </c>
      <c r="D77" s="51">
        <f t="shared" si="7"/>
        <v>261000</v>
      </c>
      <c r="E77">
        <v>1</v>
      </c>
      <c r="F77" s="51">
        <f t="shared" si="4"/>
        <v>-29000</v>
      </c>
      <c r="G77">
        <v>0</v>
      </c>
      <c r="H77">
        <v>0</v>
      </c>
      <c r="I77">
        <f t="shared" si="5"/>
        <v>0</v>
      </c>
      <c r="J77" s="57">
        <f t="shared" si="6"/>
        <v>232000</v>
      </c>
      <c r="K77" s="58">
        <v>261000</v>
      </c>
      <c r="L77" s="53" t="s">
        <v>275</v>
      </c>
    </row>
    <row r="78" spans="1:12" x14ac:dyDescent="0.35">
      <c r="A78" s="40" t="s">
        <v>24</v>
      </c>
      <c r="B78">
        <v>4</v>
      </c>
      <c r="C78">
        <v>31500</v>
      </c>
      <c r="D78">
        <f t="shared" si="7"/>
        <v>126000</v>
      </c>
      <c r="E78">
        <v>0</v>
      </c>
      <c r="F78">
        <f t="shared" si="4"/>
        <v>0</v>
      </c>
      <c r="G78">
        <v>0</v>
      </c>
      <c r="H78">
        <v>0</v>
      </c>
      <c r="I78">
        <f t="shared" si="5"/>
        <v>0</v>
      </c>
      <c r="J78" s="56">
        <f t="shared" si="6"/>
        <v>126000</v>
      </c>
      <c r="K78" s="56">
        <v>126000</v>
      </c>
      <c r="L78" s="9" t="s">
        <v>276</v>
      </c>
    </row>
    <row r="79" spans="1:12" x14ac:dyDescent="0.35">
      <c r="A79" s="40" t="s">
        <v>25</v>
      </c>
      <c r="B79">
        <v>2</v>
      </c>
      <c r="C79">
        <v>33000</v>
      </c>
      <c r="D79">
        <f t="shared" si="7"/>
        <v>66000</v>
      </c>
      <c r="E79">
        <v>0</v>
      </c>
      <c r="F79">
        <v>0</v>
      </c>
      <c r="G79">
        <v>0</v>
      </c>
      <c r="H79">
        <v>0</v>
      </c>
      <c r="I79">
        <f t="shared" si="5"/>
        <v>0</v>
      </c>
      <c r="J79" s="56">
        <f t="shared" si="6"/>
        <v>66000</v>
      </c>
      <c r="K79" s="56">
        <v>66000</v>
      </c>
      <c r="L79" s="9" t="s">
        <v>276</v>
      </c>
    </row>
    <row r="80" spans="1:12" s="45" customFormat="1" x14ac:dyDescent="0.35">
      <c r="B80" s="45">
        <f>SUM(B67:B79)</f>
        <v>113</v>
      </c>
      <c r="D80" s="45">
        <f>SUM(D67:D79)</f>
        <v>2477000</v>
      </c>
      <c r="F80" s="45">
        <f>SUM(F67:F79)</f>
        <v>-276000</v>
      </c>
      <c r="I80" s="45">
        <f>SUM(I67:I79)</f>
        <v>-57750</v>
      </c>
      <c r="J80" s="59">
        <f>SUM(J67:J79)</f>
        <v>2143250</v>
      </c>
      <c r="K80" s="59">
        <f>SUM(K67:K79)</f>
        <v>2379250</v>
      </c>
      <c r="L80" s="52"/>
    </row>
    <row r="115" spans="1:126" x14ac:dyDescent="0.35">
      <c r="A115" s="14" t="s">
        <v>3</v>
      </c>
      <c r="B115" t="s">
        <v>27</v>
      </c>
    </row>
    <row r="117" spans="1:126" x14ac:dyDescent="0.35">
      <c r="A117" s="14" t="s">
        <v>0</v>
      </c>
      <c r="B117" s="14" t="s">
        <v>1</v>
      </c>
      <c r="C117" s="14" t="s">
        <v>9</v>
      </c>
      <c r="D117" t="s">
        <v>253</v>
      </c>
      <c r="E117" t="s">
        <v>252</v>
      </c>
      <c r="F117" t="s">
        <v>223</v>
      </c>
      <c r="G117" t="s">
        <v>254</v>
      </c>
      <c r="H117" s="72" t="s">
        <v>232</v>
      </c>
      <c r="I117" s="73" t="s">
        <v>233</v>
      </c>
      <c r="J117" s="74" t="s">
        <v>234</v>
      </c>
      <c r="K117" s="73" t="s">
        <v>238</v>
      </c>
      <c r="L117" s="73" t="s">
        <v>240</v>
      </c>
      <c r="M117" s="74" t="s">
        <v>239</v>
      </c>
      <c r="N117" s="73" t="s">
        <v>235</v>
      </c>
      <c r="O117" s="73" t="s">
        <v>236</v>
      </c>
      <c r="P117" s="74" t="s">
        <v>237</v>
      </c>
      <c r="Q117" t="s">
        <v>242</v>
      </c>
      <c r="R117" t="s">
        <v>243</v>
      </c>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row>
    <row r="118" spans="1:126" x14ac:dyDescent="0.35">
      <c r="A118" t="s">
        <v>98</v>
      </c>
      <c r="B118" t="s">
        <v>99</v>
      </c>
      <c r="C118" t="s">
        <v>23</v>
      </c>
      <c r="D118" s="39">
        <v>29000</v>
      </c>
      <c r="E118" s="39">
        <v>29000</v>
      </c>
      <c r="F118" s="39">
        <v>5000</v>
      </c>
      <c r="G118" s="39">
        <v>0</v>
      </c>
      <c r="H118" s="69">
        <v>10000</v>
      </c>
      <c r="I118" s="70">
        <v>5000</v>
      </c>
      <c r="J118" s="71">
        <v>5000</v>
      </c>
      <c r="K118" s="39">
        <v>10000</v>
      </c>
      <c r="L118" s="39">
        <v>0</v>
      </c>
      <c r="M118" s="39">
        <v>0</v>
      </c>
      <c r="N118" s="70">
        <v>9000</v>
      </c>
      <c r="O118" s="70">
        <v>0</v>
      </c>
      <c r="P118" s="71">
        <v>0</v>
      </c>
      <c r="Q118" s="39">
        <v>0</v>
      </c>
      <c r="R118" s="39">
        <v>0</v>
      </c>
    </row>
    <row r="119" spans="1:126" x14ac:dyDescent="0.35">
      <c r="A119" t="s">
        <v>94</v>
      </c>
      <c r="B119" t="s">
        <v>95</v>
      </c>
      <c r="C119" t="s">
        <v>21</v>
      </c>
      <c r="D119" s="39">
        <v>26000</v>
      </c>
      <c r="E119" s="39">
        <v>19500</v>
      </c>
      <c r="F119" s="39">
        <v>14000</v>
      </c>
      <c r="G119" s="39">
        <v>6500</v>
      </c>
      <c r="H119" s="63">
        <v>10000</v>
      </c>
      <c r="I119" s="64">
        <v>2000</v>
      </c>
      <c r="J119" s="65">
        <v>8000</v>
      </c>
      <c r="K119" s="39">
        <v>10000</v>
      </c>
      <c r="L119" s="39">
        <v>0</v>
      </c>
      <c r="M119" s="39">
        <v>0</v>
      </c>
      <c r="N119" s="64">
        <v>6000</v>
      </c>
      <c r="O119" s="64">
        <v>0</v>
      </c>
      <c r="P119" s="65">
        <v>0</v>
      </c>
      <c r="Q119" s="39">
        <v>12000</v>
      </c>
      <c r="R119" s="39">
        <v>14000</v>
      </c>
    </row>
    <row r="120" spans="1:126" x14ac:dyDescent="0.35">
      <c r="A120" t="s">
        <v>96</v>
      </c>
      <c r="B120" t="s">
        <v>97</v>
      </c>
      <c r="C120" t="s">
        <v>19</v>
      </c>
      <c r="D120" s="39">
        <v>23500</v>
      </c>
      <c r="E120" s="39">
        <v>17625</v>
      </c>
      <c r="F120" s="39">
        <v>9500</v>
      </c>
      <c r="G120" s="39">
        <v>5875</v>
      </c>
      <c r="H120" s="63">
        <v>8000</v>
      </c>
      <c r="I120" s="64">
        <v>7000</v>
      </c>
      <c r="J120" s="65">
        <v>1000</v>
      </c>
      <c r="K120" s="39">
        <v>8000</v>
      </c>
      <c r="L120" s="39">
        <v>0</v>
      </c>
      <c r="M120" s="39">
        <v>0</v>
      </c>
      <c r="N120" s="64">
        <v>7500</v>
      </c>
      <c r="O120" s="64">
        <v>0</v>
      </c>
      <c r="P120" s="65">
        <v>0</v>
      </c>
      <c r="Q120" s="39">
        <v>2500</v>
      </c>
      <c r="R120" s="39">
        <v>21000</v>
      </c>
    </row>
    <row r="121" spans="1:126" x14ac:dyDescent="0.35">
      <c r="A121" t="s">
        <v>41</v>
      </c>
      <c r="B121" t="s">
        <v>42</v>
      </c>
      <c r="C121" t="s">
        <v>18</v>
      </c>
      <c r="D121" s="39">
        <v>22500</v>
      </c>
      <c r="E121" s="39">
        <v>16875</v>
      </c>
      <c r="F121" s="39">
        <v>14000</v>
      </c>
      <c r="G121" s="39">
        <v>5625</v>
      </c>
      <c r="H121" s="63">
        <v>7500</v>
      </c>
      <c r="I121" s="64">
        <v>10000</v>
      </c>
      <c r="J121" s="65">
        <v>-2500</v>
      </c>
      <c r="K121" s="39">
        <v>7500</v>
      </c>
      <c r="L121" s="39">
        <v>3500</v>
      </c>
      <c r="M121" s="39">
        <v>4000</v>
      </c>
      <c r="N121" s="64">
        <v>7500</v>
      </c>
      <c r="O121" s="64">
        <v>0</v>
      </c>
      <c r="P121" s="65">
        <v>0</v>
      </c>
      <c r="Q121" s="39">
        <v>0</v>
      </c>
      <c r="R121" s="39">
        <v>0</v>
      </c>
    </row>
    <row r="122" spans="1:126" x14ac:dyDescent="0.35">
      <c r="A122" t="s">
        <v>49</v>
      </c>
      <c r="B122" t="s">
        <v>50</v>
      </c>
      <c r="C122" t="s">
        <v>18</v>
      </c>
      <c r="D122" s="39">
        <v>22500</v>
      </c>
      <c r="E122" s="39">
        <v>22500</v>
      </c>
      <c r="F122" s="39">
        <v>18500</v>
      </c>
      <c r="G122" s="39">
        <v>0</v>
      </c>
      <c r="H122" s="63">
        <v>7500</v>
      </c>
      <c r="I122" s="64">
        <v>11000</v>
      </c>
      <c r="J122" s="65">
        <v>-3500</v>
      </c>
      <c r="K122" s="39">
        <v>7500</v>
      </c>
      <c r="L122" s="39">
        <v>2500</v>
      </c>
      <c r="M122" s="39">
        <v>5000</v>
      </c>
      <c r="N122" s="64">
        <v>7500</v>
      </c>
      <c r="O122" s="64">
        <v>0</v>
      </c>
      <c r="P122" s="65">
        <v>0</v>
      </c>
      <c r="Q122" s="39">
        <v>2500</v>
      </c>
      <c r="R122" s="39">
        <v>20000</v>
      </c>
    </row>
    <row r="123" spans="1:126" x14ac:dyDescent="0.35">
      <c r="A123" t="s">
        <v>39</v>
      </c>
      <c r="B123" t="s">
        <v>40</v>
      </c>
      <c r="C123" t="s">
        <v>15</v>
      </c>
      <c r="D123" s="39">
        <v>17500</v>
      </c>
      <c r="E123" s="39">
        <v>17500</v>
      </c>
      <c r="F123" s="39">
        <v>12500</v>
      </c>
      <c r="G123" s="39">
        <v>0</v>
      </c>
      <c r="H123" s="63">
        <v>7500</v>
      </c>
      <c r="I123" s="64">
        <v>7500</v>
      </c>
      <c r="J123" s="65">
        <v>0</v>
      </c>
      <c r="K123" s="70">
        <v>5000</v>
      </c>
      <c r="L123" s="70">
        <v>0</v>
      </c>
      <c r="M123" s="71">
        <v>0</v>
      </c>
      <c r="N123" s="64">
        <v>5000</v>
      </c>
      <c r="O123" s="64">
        <v>0</v>
      </c>
      <c r="P123" s="65">
        <v>0</v>
      </c>
      <c r="Q123" s="39">
        <v>5000</v>
      </c>
      <c r="R123" s="39">
        <v>12500</v>
      </c>
    </row>
    <row r="124" spans="1:126" x14ac:dyDescent="0.35">
      <c r="A124" t="s">
        <v>47</v>
      </c>
      <c r="B124" t="s">
        <v>48</v>
      </c>
      <c r="C124" t="s">
        <v>15</v>
      </c>
      <c r="D124" s="39">
        <v>17500</v>
      </c>
      <c r="E124" s="39">
        <v>13125</v>
      </c>
      <c r="F124" s="39">
        <v>10000</v>
      </c>
      <c r="G124" s="39">
        <v>4375</v>
      </c>
      <c r="H124" s="63">
        <v>7500</v>
      </c>
      <c r="I124" s="64">
        <v>7000</v>
      </c>
      <c r="J124" s="65">
        <v>500</v>
      </c>
      <c r="K124" s="67">
        <v>5000</v>
      </c>
      <c r="L124" s="67">
        <v>0</v>
      </c>
      <c r="M124" s="68">
        <v>0</v>
      </c>
      <c r="N124" s="64">
        <v>5000</v>
      </c>
      <c r="O124" s="64">
        <v>0</v>
      </c>
      <c r="P124" s="65">
        <v>0</v>
      </c>
      <c r="Q124" s="39">
        <v>3000</v>
      </c>
      <c r="R124" s="39">
        <v>14500</v>
      </c>
    </row>
    <row r="125" spans="1:126" x14ac:dyDescent="0.35">
      <c r="A125" t="s">
        <v>37</v>
      </c>
      <c r="B125" t="s">
        <v>38</v>
      </c>
      <c r="C125" t="s">
        <v>14</v>
      </c>
      <c r="D125" s="39">
        <v>17000</v>
      </c>
      <c r="E125" s="39">
        <v>12750</v>
      </c>
      <c r="F125" s="39">
        <v>10000</v>
      </c>
      <c r="G125" s="39">
        <v>4250</v>
      </c>
      <c r="H125" s="63">
        <v>7000</v>
      </c>
      <c r="I125" s="64">
        <v>6000</v>
      </c>
      <c r="J125" s="65">
        <v>1000</v>
      </c>
      <c r="K125" s="39">
        <v>5000</v>
      </c>
      <c r="L125" s="39">
        <v>1000</v>
      </c>
      <c r="M125" s="39">
        <v>4000</v>
      </c>
      <c r="N125" s="64">
        <v>5000</v>
      </c>
      <c r="O125" s="64">
        <v>0</v>
      </c>
      <c r="P125" s="65">
        <v>0</v>
      </c>
      <c r="Q125" s="39">
        <v>0</v>
      </c>
      <c r="R125" s="39">
        <v>0</v>
      </c>
    </row>
    <row r="126" spans="1:126" x14ac:dyDescent="0.35">
      <c r="A126" t="s">
        <v>45</v>
      </c>
      <c r="B126" t="s">
        <v>46</v>
      </c>
      <c r="C126" t="s">
        <v>14</v>
      </c>
      <c r="D126" s="39">
        <v>17000</v>
      </c>
      <c r="E126" s="39">
        <v>12750</v>
      </c>
      <c r="F126" s="39">
        <v>9000</v>
      </c>
      <c r="G126" s="39">
        <v>4250</v>
      </c>
      <c r="H126" s="63">
        <v>7000</v>
      </c>
      <c r="I126" s="64">
        <v>5000</v>
      </c>
      <c r="J126" s="65">
        <v>2000</v>
      </c>
      <c r="K126" s="39">
        <v>5000</v>
      </c>
      <c r="L126" s="39">
        <v>0</v>
      </c>
      <c r="M126" s="39">
        <v>0</v>
      </c>
      <c r="N126" s="64">
        <v>5000</v>
      </c>
      <c r="O126" s="64">
        <v>0</v>
      </c>
      <c r="P126" s="65">
        <v>0</v>
      </c>
      <c r="Q126" s="39">
        <v>4000</v>
      </c>
      <c r="R126" s="39">
        <v>13000</v>
      </c>
    </row>
    <row r="127" spans="1:126" x14ac:dyDescent="0.35">
      <c r="A127" t="s">
        <v>64</v>
      </c>
      <c r="B127" t="s">
        <v>65</v>
      </c>
      <c r="C127" t="s">
        <v>14</v>
      </c>
      <c r="D127" s="39">
        <v>17000</v>
      </c>
      <c r="E127" s="39">
        <v>12750</v>
      </c>
      <c r="F127" s="39">
        <v>7500</v>
      </c>
      <c r="G127" s="39">
        <v>4250</v>
      </c>
      <c r="H127" s="63">
        <v>7000</v>
      </c>
      <c r="I127" s="64">
        <v>3000</v>
      </c>
      <c r="J127" s="65">
        <v>4000</v>
      </c>
      <c r="K127" s="39">
        <v>5000</v>
      </c>
      <c r="L127" s="39">
        <v>0</v>
      </c>
      <c r="M127" s="39">
        <v>0</v>
      </c>
      <c r="N127" s="64">
        <v>5000</v>
      </c>
      <c r="O127" s="64">
        <v>0</v>
      </c>
      <c r="P127" s="65">
        <v>0</v>
      </c>
      <c r="Q127" s="39">
        <v>4500</v>
      </c>
      <c r="R127" s="39">
        <v>12500</v>
      </c>
    </row>
    <row r="128" spans="1:126" x14ac:dyDescent="0.35">
      <c r="A128" t="s">
        <v>80</v>
      </c>
      <c r="B128" t="s">
        <v>81</v>
      </c>
      <c r="C128" t="s">
        <v>14</v>
      </c>
      <c r="D128" s="39">
        <v>17000</v>
      </c>
      <c r="E128" s="39">
        <v>12750</v>
      </c>
      <c r="F128" s="39">
        <v>5000</v>
      </c>
      <c r="G128" s="39">
        <v>4250</v>
      </c>
      <c r="H128" s="63">
        <v>7000</v>
      </c>
      <c r="I128" s="64">
        <v>5000</v>
      </c>
      <c r="J128" s="65">
        <v>2000</v>
      </c>
      <c r="K128" s="39">
        <v>5000</v>
      </c>
      <c r="L128" s="39">
        <v>0</v>
      </c>
      <c r="M128" s="39">
        <v>0</v>
      </c>
      <c r="N128" s="64">
        <v>5000</v>
      </c>
      <c r="O128" s="64">
        <v>0</v>
      </c>
      <c r="P128" s="65">
        <v>0</v>
      </c>
      <c r="Q128" s="39">
        <v>0</v>
      </c>
      <c r="R128" s="39">
        <v>0</v>
      </c>
    </row>
    <row r="129" spans="1:18" x14ac:dyDescent="0.35">
      <c r="A129" t="s">
        <v>176</v>
      </c>
      <c r="B129" t="s">
        <v>177</v>
      </c>
      <c r="C129" t="s">
        <v>14</v>
      </c>
      <c r="D129" s="39">
        <v>17000</v>
      </c>
      <c r="E129" s="39">
        <v>12750</v>
      </c>
      <c r="F129" s="39">
        <v>0</v>
      </c>
      <c r="G129" s="39">
        <v>4250</v>
      </c>
      <c r="H129" s="63">
        <v>7000</v>
      </c>
      <c r="I129" s="64">
        <v>0</v>
      </c>
      <c r="J129" s="65">
        <v>0</v>
      </c>
      <c r="K129" s="39">
        <v>5000</v>
      </c>
      <c r="L129" s="39">
        <v>0</v>
      </c>
      <c r="M129" s="39">
        <v>0</v>
      </c>
      <c r="N129" s="64">
        <v>5000</v>
      </c>
      <c r="O129" s="64">
        <v>0</v>
      </c>
      <c r="P129" s="65">
        <v>0</v>
      </c>
      <c r="Q129" s="39">
        <v>0</v>
      </c>
      <c r="R129" s="39">
        <v>0</v>
      </c>
    </row>
    <row r="130" spans="1:18" x14ac:dyDescent="0.35">
      <c r="A130" t="s">
        <v>178</v>
      </c>
      <c r="B130" t="s">
        <v>179</v>
      </c>
      <c r="C130" t="s">
        <v>16</v>
      </c>
      <c r="D130" s="39">
        <v>19500</v>
      </c>
      <c r="E130" s="39">
        <v>14625</v>
      </c>
      <c r="F130" s="39">
        <v>12000</v>
      </c>
      <c r="G130" s="39">
        <v>4875</v>
      </c>
      <c r="H130" s="63">
        <v>9500</v>
      </c>
      <c r="I130" s="64">
        <v>8000</v>
      </c>
      <c r="J130" s="65">
        <v>1500</v>
      </c>
      <c r="K130" s="39">
        <v>5000</v>
      </c>
      <c r="L130" s="39">
        <v>1000</v>
      </c>
      <c r="M130" s="39">
        <v>4000</v>
      </c>
      <c r="N130" s="64">
        <v>5000</v>
      </c>
      <c r="O130" s="64">
        <v>0</v>
      </c>
      <c r="P130" s="65">
        <v>0</v>
      </c>
      <c r="Q130" s="39">
        <v>0</v>
      </c>
      <c r="R130" s="39">
        <v>0</v>
      </c>
    </row>
    <row r="131" spans="1:18" x14ac:dyDescent="0.35">
      <c r="A131" t="s">
        <v>182</v>
      </c>
      <c r="B131" t="s">
        <v>183</v>
      </c>
      <c r="C131" t="s">
        <v>16</v>
      </c>
      <c r="D131" s="39">
        <v>19500</v>
      </c>
      <c r="E131" s="39">
        <v>14625</v>
      </c>
      <c r="F131" s="39">
        <v>12000</v>
      </c>
      <c r="G131" s="39">
        <v>4875</v>
      </c>
      <c r="H131" s="63">
        <v>9500</v>
      </c>
      <c r="I131" s="64">
        <v>7000</v>
      </c>
      <c r="J131" s="65">
        <v>2500</v>
      </c>
      <c r="K131" s="39">
        <v>5000</v>
      </c>
      <c r="L131" s="39">
        <v>0</v>
      </c>
      <c r="M131" s="39">
        <v>5000</v>
      </c>
      <c r="N131" s="64">
        <v>5000</v>
      </c>
      <c r="O131" s="64">
        <v>0</v>
      </c>
      <c r="P131" s="65">
        <v>0</v>
      </c>
      <c r="Q131" s="39">
        <v>0</v>
      </c>
      <c r="R131" s="39">
        <v>0</v>
      </c>
    </row>
    <row r="132" spans="1:18" x14ac:dyDescent="0.35">
      <c r="A132" t="s">
        <v>189</v>
      </c>
      <c r="B132" t="s">
        <v>190</v>
      </c>
      <c r="C132" t="s">
        <v>16</v>
      </c>
      <c r="D132" s="39">
        <v>19500</v>
      </c>
      <c r="E132" s="39">
        <v>19500</v>
      </c>
      <c r="F132" s="39">
        <v>19500</v>
      </c>
      <c r="G132" s="39">
        <v>0</v>
      </c>
      <c r="H132" s="63">
        <v>9500</v>
      </c>
      <c r="I132" s="64">
        <v>8000</v>
      </c>
      <c r="J132" s="65">
        <v>1500</v>
      </c>
      <c r="K132" s="39">
        <v>5000</v>
      </c>
      <c r="L132" s="39">
        <v>0</v>
      </c>
      <c r="M132" s="39">
        <v>0</v>
      </c>
      <c r="N132" s="64">
        <v>5000</v>
      </c>
      <c r="O132" s="64">
        <v>0</v>
      </c>
      <c r="P132" s="65">
        <v>0</v>
      </c>
      <c r="Q132" s="39">
        <v>11500</v>
      </c>
      <c r="R132" s="39">
        <v>8000</v>
      </c>
    </row>
    <row r="133" spans="1:18" x14ac:dyDescent="0.35">
      <c r="A133" t="s">
        <v>184</v>
      </c>
      <c r="B133" t="s">
        <v>185</v>
      </c>
      <c r="C133" t="s">
        <v>15</v>
      </c>
      <c r="D133" s="39">
        <v>17500</v>
      </c>
      <c r="E133" s="39">
        <v>13125</v>
      </c>
      <c r="F133" s="39">
        <v>0</v>
      </c>
      <c r="G133" s="39">
        <v>4375</v>
      </c>
      <c r="H133" s="63">
        <v>7500</v>
      </c>
      <c r="I133" s="64">
        <v>0</v>
      </c>
      <c r="J133" s="65">
        <v>0</v>
      </c>
      <c r="K133" s="77">
        <v>5000</v>
      </c>
      <c r="L133" s="77">
        <v>0</v>
      </c>
      <c r="M133" s="78">
        <v>0</v>
      </c>
      <c r="N133" s="64">
        <v>5000</v>
      </c>
      <c r="O133" s="64">
        <v>0</v>
      </c>
      <c r="P133" s="65">
        <v>0</v>
      </c>
      <c r="Q133" s="39">
        <v>0</v>
      </c>
      <c r="R133" s="39">
        <v>0</v>
      </c>
    </row>
    <row r="134" spans="1:18" x14ac:dyDescent="0.35">
      <c r="A134" t="s">
        <v>26</v>
      </c>
      <c r="D134" s="39">
        <v>319500</v>
      </c>
      <c r="E134" s="39">
        <v>261750</v>
      </c>
      <c r="F134" s="39">
        <v>158500</v>
      </c>
      <c r="G134" s="39">
        <v>57750</v>
      </c>
      <c r="H134" s="66">
        <v>129000</v>
      </c>
      <c r="I134" s="67">
        <v>91500</v>
      </c>
      <c r="J134" s="68">
        <v>23000</v>
      </c>
      <c r="K134" s="39">
        <v>98000</v>
      </c>
      <c r="L134" s="39">
        <v>8000</v>
      </c>
      <c r="M134" s="39">
        <v>22000</v>
      </c>
      <c r="N134" s="67">
        <v>92500</v>
      </c>
      <c r="O134" s="67">
        <v>0</v>
      </c>
      <c r="P134" s="68">
        <v>0</v>
      </c>
      <c r="Q134" s="39">
        <v>45000</v>
      </c>
      <c r="R134" s="39">
        <v>115500</v>
      </c>
    </row>
    <row r="135" spans="1:18" x14ac:dyDescent="0.35">
      <c r="L135"/>
    </row>
    <row r="136" spans="1:18" x14ac:dyDescent="0.35">
      <c r="L136"/>
    </row>
    <row r="137" spans="1:18" x14ac:dyDescent="0.35">
      <c r="L137"/>
    </row>
    <row r="138" spans="1:18" x14ac:dyDescent="0.35">
      <c r="L138"/>
    </row>
    <row r="139" spans="1:18" x14ac:dyDescent="0.35">
      <c r="L139"/>
    </row>
    <row r="140" spans="1:18" x14ac:dyDescent="0.35">
      <c r="A140" s="75" t="s">
        <v>0</v>
      </c>
      <c r="B140" s="75" t="s">
        <v>1</v>
      </c>
      <c r="C140" s="75" t="s">
        <v>8</v>
      </c>
      <c r="D140" s="75" t="s">
        <v>280</v>
      </c>
      <c r="E140" s="75" t="s">
        <v>281</v>
      </c>
      <c r="F140" s="75" t="s">
        <v>282</v>
      </c>
      <c r="G140" s="75" t="s">
        <v>283</v>
      </c>
      <c r="L140"/>
    </row>
    <row r="141" spans="1:18" x14ac:dyDescent="0.35">
      <c r="A141" s="76" t="s">
        <v>37</v>
      </c>
      <c r="B141" s="45" t="s">
        <v>38</v>
      </c>
      <c r="C141" t="s">
        <v>14</v>
      </c>
      <c r="D141" s="39">
        <v>17000</v>
      </c>
      <c r="E141" s="39">
        <v>12750</v>
      </c>
      <c r="F141" s="39">
        <v>6000</v>
      </c>
      <c r="G141" s="39">
        <v>4250</v>
      </c>
      <c r="L141"/>
    </row>
    <row r="142" spans="1:18" x14ac:dyDescent="0.35">
      <c r="A142" s="76" t="s">
        <v>45</v>
      </c>
      <c r="B142" s="45" t="s">
        <v>46</v>
      </c>
      <c r="C142" t="s">
        <v>14</v>
      </c>
      <c r="D142" s="39">
        <v>17000</v>
      </c>
      <c r="E142" s="39">
        <v>12750</v>
      </c>
      <c r="F142" s="39">
        <v>5000</v>
      </c>
      <c r="G142" s="39">
        <v>4250</v>
      </c>
      <c r="L142"/>
    </row>
    <row r="143" spans="1:18" x14ac:dyDescent="0.35">
      <c r="A143" s="76" t="s">
        <v>64</v>
      </c>
      <c r="B143" s="45" t="s">
        <v>65</v>
      </c>
      <c r="C143" t="s">
        <v>14</v>
      </c>
      <c r="D143" s="39">
        <v>17000</v>
      </c>
      <c r="E143" s="39">
        <v>12750</v>
      </c>
      <c r="F143" s="39">
        <v>3000</v>
      </c>
      <c r="G143" s="39">
        <v>4250</v>
      </c>
      <c r="L143"/>
    </row>
    <row r="144" spans="1:18" x14ac:dyDescent="0.35">
      <c r="A144" s="76" t="s">
        <v>80</v>
      </c>
      <c r="B144" s="45" t="s">
        <v>81</v>
      </c>
      <c r="C144" t="s">
        <v>14</v>
      </c>
      <c r="D144" s="39">
        <v>17000</v>
      </c>
      <c r="E144" s="39">
        <v>12750</v>
      </c>
      <c r="F144" s="39">
        <v>5000</v>
      </c>
      <c r="G144" s="39">
        <v>4250</v>
      </c>
      <c r="L144"/>
    </row>
    <row r="145" spans="1:12" x14ac:dyDescent="0.35">
      <c r="A145" s="76" t="s">
        <v>176</v>
      </c>
      <c r="B145" s="45" t="s">
        <v>177</v>
      </c>
      <c r="C145" t="s">
        <v>14</v>
      </c>
      <c r="D145" s="39">
        <v>17000</v>
      </c>
      <c r="E145" s="39">
        <v>12750</v>
      </c>
      <c r="F145" s="39">
        <v>0</v>
      </c>
      <c r="G145" s="39">
        <v>4250</v>
      </c>
      <c r="L145"/>
    </row>
    <row r="146" spans="1:12" x14ac:dyDescent="0.35">
      <c r="L146"/>
    </row>
    <row r="147" spans="1:12" x14ac:dyDescent="0.35">
      <c r="A147" s="76" t="s">
        <v>39</v>
      </c>
      <c r="B147" s="45" t="s">
        <v>40</v>
      </c>
      <c r="C147" t="s">
        <v>15</v>
      </c>
      <c r="D147" s="39">
        <v>17500</v>
      </c>
      <c r="E147" s="39">
        <v>17500</v>
      </c>
      <c r="F147" s="39">
        <v>10500</v>
      </c>
      <c r="G147" s="39">
        <v>0</v>
      </c>
      <c r="L147"/>
    </row>
    <row r="148" spans="1:12" x14ac:dyDescent="0.35">
      <c r="A148" s="76" t="s">
        <v>47</v>
      </c>
      <c r="B148" s="45" t="s">
        <v>48</v>
      </c>
      <c r="C148" t="s">
        <v>15</v>
      </c>
      <c r="D148" s="39">
        <v>17500</v>
      </c>
      <c r="E148" s="39">
        <v>13125</v>
      </c>
      <c r="F148" s="39">
        <v>7000</v>
      </c>
      <c r="G148" s="39">
        <v>4375</v>
      </c>
      <c r="L148"/>
    </row>
    <row r="149" spans="1:12" x14ac:dyDescent="0.35">
      <c r="A149" s="76" t="s">
        <v>184</v>
      </c>
      <c r="B149" s="45" t="s">
        <v>185</v>
      </c>
      <c r="C149" t="s">
        <v>15</v>
      </c>
      <c r="D149" s="39">
        <v>17500</v>
      </c>
      <c r="E149" s="39">
        <v>13125</v>
      </c>
      <c r="F149" s="39">
        <v>0</v>
      </c>
      <c r="G149" s="39">
        <v>4375</v>
      </c>
      <c r="L149"/>
    </row>
    <row r="150" spans="1:12" x14ac:dyDescent="0.35">
      <c r="L150"/>
    </row>
    <row r="151" spans="1:12" x14ac:dyDescent="0.35">
      <c r="A151" s="76" t="s">
        <v>178</v>
      </c>
      <c r="B151" s="45" t="s">
        <v>179</v>
      </c>
      <c r="C151" t="s">
        <v>16</v>
      </c>
      <c r="D151" s="39">
        <v>19500</v>
      </c>
      <c r="E151" s="39">
        <v>14625</v>
      </c>
      <c r="F151" s="39">
        <v>8000</v>
      </c>
      <c r="G151" s="39">
        <v>4875</v>
      </c>
      <c r="L151"/>
    </row>
    <row r="152" spans="1:12" x14ac:dyDescent="0.35">
      <c r="A152" s="76" t="s">
        <v>182</v>
      </c>
      <c r="B152" s="45" t="s">
        <v>183</v>
      </c>
      <c r="C152" t="s">
        <v>16</v>
      </c>
      <c r="D152" s="39">
        <v>19500</v>
      </c>
      <c r="E152" s="39">
        <v>14625</v>
      </c>
      <c r="F152" s="39">
        <v>7000</v>
      </c>
      <c r="G152" s="39">
        <v>4875</v>
      </c>
      <c r="L152"/>
    </row>
    <row r="153" spans="1:12" x14ac:dyDescent="0.35">
      <c r="A153" s="76" t="s">
        <v>189</v>
      </c>
      <c r="B153" s="45" t="s">
        <v>190</v>
      </c>
      <c r="C153" t="s">
        <v>16</v>
      </c>
      <c r="D153" s="39">
        <v>19500</v>
      </c>
      <c r="E153" s="39">
        <v>19500</v>
      </c>
      <c r="F153" s="39">
        <v>10000</v>
      </c>
      <c r="G153" s="39">
        <v>0</v>
      </c>
      <c r="L153"/>
    </row>
    <row r="154" spans="1:12" x14ac:dyDescent="0.35">
      <c r="L154"/>
    </row>
    <row r="155" spans="1:12" x14ac:dyDescent="0.35">
      <c r="A155" s="76" t="s">
        <v>41</v>
      </c>
      <c r="B155" s="45" t="s">
        <v>42</v>
      </c>
      <c r="C155" t="s">
        <v>18</v>
      </c>
      <c r="D155" s="39">
        <v>22500</v>
      </c>
      <c r="E155" s="39">
        <v>16875</v>
      </c>
      <c r="F155" s="39">
        <v>10000</v>
      </c>
      <c r="G155" s="39">
        <v>5625</v>
      </c>
      <c r="L155"/>
    </row>
    <row r="156" spans="1:12" x14ac:dyDescent="0.35">
      <c r="A156" s="76" t="s">
        <v>49</v>
      </c>
      <c r="B156" s="45" t="s">
        <v>50</v>
      </c>
      <c r="C156" t="s">
        <v>18</v>
      </c>
      <c r="D156" s="39">
        <v>22500</v>
      </c>
      <c r="E156" s="39">
        <v>22500</v>
      </c>
      <c r="F156" s="39">
        <v>13000</v>
      </c>
      <c r="G156" s="39">
        <v>0</v>
      </c>
      <c r="L156"/>
    </row>
    <row r="157" spans="1:12" x14ac:dyDescent="0.35">
      <c r="L157"/>
    </row>
    <row r="158" spans="1:12" x14ac:dyDescent="0.35">
      <c r="A158" s="76" t="s">
        <v>96</v>
      </c>
      <c r="B158" s="45" t="s">
        <v>97</v>
      </c>
      <c r="C158" t="s">
        <v>19</v>
      </c>
      <c r="D158" s="39">
        <v>23500</v>
      </c>
      <c r="E158" s="39">
        <v>17625</v>
      </c>
      <c r="F158" s="39">
        <v>7000</v>
      </c>
      <c r="G158" s="39">
        <v>5875</v>
      </c>
      <c r="L158"/>
    </row>
    <row r="159" spans="1:12" x14ac:dyDescent="0.35">
      <c r="L159"/>
    </row>
    <row r="160" spans="1:12" x14ac:dyDescent="0.35">
      <c r="A160" s="76" t="s">
        <v>94</v>
      </c>
      <c r="B160" s="45" t="s">
        <v>95</v>
      </c>
      <c r="C160" t="s">
        <v>21</v>
      </c>
      <c r="D160" s="39">
        <v>26500</v>
      </c>
      <c r="E160" s="39">
        <v>20000</v>
      </c>
      <c r="F160" s="39">
        <v>7000</v>
      </c>
      <c r="G160" s="39">
        <v>6500</v>
      </c>
      <c r="L160"/>
    </row>
    <row r="161" spans="1:12" x14ac:dyDescent="0.35">
      <c r="L161"/>
    </row>
    <row r="162" spans="1:12" x14ac:dyDescent="0.35">
      <c r="A162" s="76" t="s">
        <v>98</v>
      </c>
      <c r="B162" s="45" t="s">
        <v>99</v>
      </c>
      <c r="C162" t="s">
        <v>23</v>
      </c>
      <c r="D162" s="39">
        <v>29500</v>
      </c>
      <c r="E162" s="39">
        <v>29500</v>
      </c>
      <c r="F162" s="39">
        <v>10000</v>
      </c>
      <c r="G162" s="39">
        <v>0</v>
      </c>
      <c r="L162"/>
    </row>
    <row r="163" spans="1:12" x14ac:dyDescent="0.35">
      <c r="L163"/>
    </row>
    <row r="164" spans="1:12" x14ac:dyDescent="0.35">
      <c r="L164"/>
    </row>
    <row r="165" spans="1:12" x14ac:dyDescent="0.35">
      <c r="L165"/>
    </row>
    <row r="166" spans="1:12" x14ac:dyDescent="0.35">
      <c r="L166"/>
    </row>
    <row r="167" spans="1:12" x14ac:dyDescent="0.35">
      <c r="L167"/>
    </row>
    <row r="168" spans="1:12" x14ac:dyDescent="0.35">
      <c r="L168"/>
    </row>
    <row r="169" spans="1:12" x14ac:dyDescent="0.35">
      <c r="L169"/>
    </row>
    <row r="170" spans="1:12" x14ac:dyDescent="0.35">
      <c r="L170"/>
    </row>
    <row r="171" spans="1:12" x14ac:dyDescent="0.35">
      <c r="L171"/>
    </row>
    <row r="172" spans="1:12" x14ac:dyDescent="0.35">
      <c r="L172"/>
    </row>
    <row r="173" spans="1:12" x14ac:dyDescent="0.35">
      <c r="L173"/>
    </row>
    <row r="174" spans="1:12" x14ac:dyDescent="0.35">
      <c r="L174"/>
    </row>
    <row r="175" spans="1:12" x14ac:dyDescent="0.35">
      <c r="L175"/>
    </row>
    <row r="176" spans="1:12" x14ac:dyDescent="0.35">
      <c r="L176"/>
    </row>
    <row r="177" spans="12:12" x14ac:dyDescent="0.35">
      <c r="L177"/>
    </row>
    <row r="178" spans="12:12" x14ac:dyDescent="0.35">
      <c r="L178"/>
    </row>
    <row r="179" spans="12:12" x14ac:dyDescent="0.35">
      <c r="L179"/>
    </row>
    <row r="180" spans="12:12" x14ac:dyDescent="0.35">
      <c r="L180"/>
    </row>
    <row r="181" spans="12:12" x14ac:dyDescent="0.35">
      <c r="L181"/>
    </row>
    <row r="182" spans="12:12" x14ac:dyDescent="0.35">
      <c r="L182"/>
    </row>
    <row r="183" spans="12:12" x14ac:dyDescent="0.35">
      <c r="L183"/>
    </row>
    <row r="184" spans="12:12" x14ac:dyDescent="0.35">
      <c r="L184"/>
    </row>
    <row r="185" spans="12:12" x14ac:dyDescent="0.35">
      <c r="L185"/>
    </row>
    <row r="186" spans="12:12" x14ac:dyDescent="0.35">
      <c r="L186"/>
    </row>
    <row r="187" spans="12:12" x14ac:dyDescent="0.35">
      <c r="L187"/>
    </row>
    <row r="188" spans="12:12" x14ac:dyDescent="0.35">
      <c r="L188"/>
    </row>
    <row r="189" spans="12:12" x14ac:dyDescent="0.35">
      <c r="L189"/>
    </row>
    <row r="190" spans="12:12" x14ac:dyDescent="0.35">
      <c r="L190"/>
    </row>
    <row r="191" spans="12:12" x14ac:dyDescent="0.35">
      <c r="L191"/>
    </row>
    <row r="192" spans="12:12" x14ac:dyDescent="0.35">
      <c r="L192"/>
    </row>
    <row r="193" spans="12:12" x14ac:dyDescent="0.35">
      <c r="L193"/>
    </row>
    <row r="194" spans="12:12" x14ac:dyDescent="0.35">
      <c r="L194"/>
    </row>
    <row r="195" spans="12:12" x14ac:dyDescent="0.35">
      <c r="L195"/>
    </row>
    <row r="196" spans="12:12" x14ac:dyDescent="0.35">
      <c r="L196"/>
    </row>
    <row r="197" spans="12:12" x14ac:dyDescent="0.35">
      <c r="L197"/>
    </row>
    <row r="198" spans="12:12" x14ac:dyDescent="0.35">
      <c r="L198"/>
    </row>
    <row r="199" spans="12:12" x14ac:dyDescent="0.35">
      <c r="L199"/>
    </row>
    <row r="200" spans="12:12" x14ac:dyDescent="0.35">
      <c r="L200"/>
    </row>
    <row r="201" spans="12:12" x14ac:dyDescent="0.35">
      <c r="L201"/>
    </row>
    <row r="202" spans="12:12" x14ac:dyDescent="0.35">
      <c r="L202"/>
    </row>
    <row r="203" spans="12:12" x14ac:dyDescent="0.35">
      <c r="L203"/>
    </row>
    <row r="204" spans="12:12" x14ac:dyDescent="0.35">
      <c r="L204"/>
    </row>
    <row r="205" spans="12:12" x14ac:dyDescent="0.35">
      <c r="L205"/>
    </row>
    <row r="206" spans="12:12" x14ac:dyDescent="0.35">
      <c r="L206"/>
    </row>
    <row r="207" spans="12:12" x14ac:dyDescent="0.35">
      <c r="L207"/>
    </row>
    <row r="208" spans="12:12" x14ac:dyDescent="0.35">
      <c r="L208"/>
    </row>
    <row r="209" spans="12:12" x14ac:dyDescent="0.35">
      <c r="L209"/>
    </row>
    <row r="210" spans="12:12" x14ac:dyDescent="0.35">
      <c r="L210"/>
    </row>
    <row r="211" spans="12:12" x14ac:dyDescent="0.35">
      <c r="L211"/>
    </row>
    <row r="212" spans="12:12" x14ac:dyDescent="0.35">
      <c r="L212"/>
    </row>
    <row r="213" spans="12:12" x14ac:dyDescent="0.35">
      <c r="L213"/>
    </row>
    <row r="214" spans="12:12" x14ac:dyDescent="0.35">
      <c r="L214"/>
    </row>
    <row r="215" spans="12:12" x14ac:dyDescent="0.35">
      <c r="L215"/>
    </row>
    <row r="216" spans="12:12" x14ac:dyDescent="0.35">
      <c r="L216"/>
    </row>
    <row r="217" spans="12:12" x14ac:dyDescent="0.35">
      <c r="L217"/>
    </row>
    <row r="218" spans="12:12" x14ac:dyDescent="0.35">
      <c r="L218"/>
    </row>
    <row r="219" spans="12:12" x14ac:dyDescent="0.35">
      <c r="L219"/>
    </row>
    <row r="220" spans="12:12" x14ac:dyDescent="0.35">
      <c r="L220"/>
    </row>
    <row r="221" spans="12:12" x14ac:dyDescent="0.35">
      <c r="L221"/>
    </row>
    <row r="222" spans="12:12" x14ac:dyDescent="0.35">
      <c r="L222"/>
    </row>
    <row r="223" spans="12:12" x14ac:dyDescent="0.35">
      <c r="L223"/>
    </row>
    <row r="224" spans="12:12" x14ac:dyDescent="0.35">
      <c r="L224"/>
    </row>
    <row r="225" spans="12:12" x14ac:dyDescent="0.35">
      <c r="L225"/>
    </row>
    <row r="226" spans="12:12" x14ac:dyDescent="0.35">
      <c r="L226"/>
    </row>
    <row r="227" spans="12:12" x14ac:dyDescent="0.35">
      <c r="L227"/>
    </row>
    <row r="228" spans="12:12" x14ac:dyDescent="0.35">
      <c r="L228"/>
    </row>
    <row r="229" spans="12:12" x14ac:dyDescent="0.35">
      <c r="L229"/>
    </row>
    <row r="230" spans="12:12" x14ac:dyDescent="0.35">
      <c r="L230"/>
    </row>
    <row r="231" spans="12:12" x14ac:dyDescent="0.35">
      <c r="L231"/>
    </row>
    <row r="232" spans="12:12" x14ac:dyDescent="0.35">
      <c r="L232"/>
    </row>
  </sheetData>
  <conditionalFormatting sqref="H4:J4">
    <cfRule type="notContainsBlanks" dxfId="45" priority="4">
      <formula>LEN(TRIM(H4))&gt;0</formula>
    </cfRule>
  </conditionalFormatting>
  <conditionalFormatting sqref="K4:M4">
    <cfRule type="notContainsBlanks" dxfId="44" priority="1">
      <formula>LEN(TRIM(K4))&gt;0</formula>
    </cfRule>
  </conditionalFormatting>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9B318-61BE-4B24-A4E4-789B36DE444C}">
  <dimension ref="A1:U10"/>
  <sheetViews>
    <sheetView workbookViewId="0">
      <selection activeCell="C20" sqref="C20"/>
    </sheetView>
  </sheetViews>
  <sheetFormatPr defaultRowHeight="14.5" x14ac:dyDescent="0.35"/>
  <cols>
    <col min="1" max="1" width="13.90625" bestFit="1" customWidth="1"/>
    <col min="2" max="2" width="16.453125" bestFit="1" customWidth="1"/>
    <col min="3" max="3" width="10.6328125" bestFit="1" customWidth="1"/>
    <col min="4" max="4" width="17.453125" bestFit="1" customWidth="1"/>
    <col min="5" max="5" width="20.08984375" bestFit="1" customWidth="1"/>
    <col min="6" max="6" width="15" bestFit="1" customWidth="1"/>
    <col min="7" max="7" width="21.81640625" bestFit="1" customWidth="1"/>
    <col min="8" max="8" width="13" bestFit="1" customWidth="1"/>
    <col min="9" max="9" width="17.26953125" bestFit="1" customWidth="1"/>
    <col min="10" max="10" width="20.26953125" bestFit="1" customWidth="1"/>
    <col min="11" max="11" width="13" bestFit="1" customWidth="1"/>
    <col min="12" max="12" width="20.26953125" bestFit="1" customWidth="1"/>
    <col min="13" max="13" width="17.26953125" bestFit="1" customWidth="1"/>
    <col min="14" max="14" width="13" bestFit="1" customWidth="1"/>
    <col min="15" max="15" width="17.26953125" bestFit="1" customWidth="1"/>
    <col min="16" max="16" width="20.26953125" bestFit="1" customWidth="1"/>
    <col min="17" max="17" width="26.1796875" bestFit="1" customWidth="1"/>
    <col min="18" max="19" width="32" bestFit="1" customWidth="1"/>
  </cols>
  <sheetData>
    <row r="1" spans="1:21" x14ac:dyDescent="0.35">
      <c r="A1" s="14" t="s">
        <v>3</v>
      </c>
      <c r="B1" t="s">
        <v>188</v>
      </c>
      <c r="L1" s="9"/>
    </row>
    <row r="2" spans="1:21" x14ac:dyDescent="0.35">
      <c r="A2" s="14" t="s">
        <v>2</v>
      </c>
      <c r="B2" t="s">
        <v>284</v>
      </c>
      <c r="L2" s="9"/>
    </row>
    <row r="3" spans="1:21" x14ac:dyDescent="0.35">
      <c r="L3" s="9"/>
    </row>
    <row r="4" spans="1:21" x14ac:dyDescent="0.35">
      <c r="A4" s="14" t="s">
        <v>0</v>
      </c>
      <c r="B4" s="14" t="s">
        <v>1</v>
      </c>
      <c r="C4" s="14" t="s">
        <v>9</v>
      </c>
      <c r="D4" t="s">
        <v>253</v>
      </c>
      <c r="E4" t="s">
        <v>252</v>
      </c>
      <c r="F4" t="s">
        <v>223</v>
      </c>
      <c r="G4" t="s">
        <v>254</v>
      </c>
      <c r="H4" s="72" t="s">
        <v>232</v>
      </c>
      <c r="I4" s="73" t="s">
        <v>233</v>
      </c>
      <c r="J4" s="74" t="s">
        <v>234</v>
      </c>
      <c r="K4" s="73" t="s">
        <v>238</v>
      </c>
      <c r="L4" s="73" t="s">
        <v>240</v>
      </c>
      <c r="M4" s="74" t="s">
        <v>239</v>
      </c>
      <c r="N4" s="73" t="s">
        <v>235</v>
      </c>
      <c r="O4" s="73" t="s">
        <v>236</v>
      </c>
      <c r="P4" s="74" t="s">
        <v>237</v>
      </c>
      <c r="Q4" t="s">
        <v>242</v>
      </c>
      <c r="R4" t="s">
        <v>243</v>
      </c>
      <c r="T4" s="14"/>
      <c r="U4" s="14"/>
    </row>
    <row r="5" spans="1:21" x14ac:dyDescent="0.35">
      <c r="A5" t="s">
        <v>395</v>
      </c>
      <c r="B5" t="s">
        <v>396</v>
      </c>
      <c r="C5" t="s">
        <v>16</v>
      </c>
      <c r="D5" s="39">
        <v>19500</v>
      </c>
      <c r="E5" s="39">
        <v>0</v>
      </c>
      <c r="F5" s="39">
        <v>0</v>
      </c>
      <c r="G5" s="39">
        <v>0</v>
      </c>
      <c r="H5" s="69">
        <v>0</v>
      </c>
      <c r="I5" s="70">
        <v>0</v>
      </c>
      <c r="J5" s="71">
        <v>0</v>
      </c>
      <c r="K5" s="39">
        <v>0</v>
      </c>
      <c r="L5" s="39">
        <v>0</v>
      </c>
      <c r="M5" s="39">
        <v>0</v>
      </c>
      <c r="N5" s="70">
        <v>0</v>
      </c>
      <c r="O5" s="70">
        <v>0</v>
      </c>
      <c r="P5" s="71">
        <v>0</v>
      </c>
      <c r="Q5" s="39">
        <v>0</v>
      </c>
      <c r="R5" s="39">
        <v>0</v>
      </c>
    </row>
    <row r="6" spans="1:21" x14ac:dyDescent="0.35">
      <c r="A6" t="s">
        <v>391</v>
      </c>
      <c r="B6" t="s">
        <v>392</v>
      </c>
      <c r="C6" t="s">
        <v>15</v>
      </c>
      <c r="D6" s="39">
        <v>17500</v>
      </c>
      <c r="E6" s="39">
        <v>0</v>
      </c>
      <c r="F6" s="39">
        <v>0</v>
      </c>
      <c r="G6" s="39">
        <v>0</v>
      </c>
      <c r="H6" s="63">
        <v>0</v>
      </c>
      <c r="I6" s="64">
        <v>0</v>
      </c>
      <c r="J6" s="65">
        <v>0</v>
      </c>
      <c r="K6" s="70">
        <v>0</v>
      </c>
      <c r="L6" s="70">
        <v>0</v>
      </c>
      <c r="M6" s="71">
        <v>0</v>
      </c>
      <c r="N6" s="64">
        <v>0</v>
      </c>
      <c r="O6" s="64">
        <v>0</v>
      </c>
      <c r="P6" s="65">
        <v>0</v>
      </c>
      <c r="Q6" s="39">
        <v>0</v>
      </c>
      <c r="R6" s="39">
        <v>0</v>
      </c>
    </row>
    <row r="7" spans="1:21" x14ac:dyDescent="0.35">
      <c r="A7" t="s">
        <v>406</v>
      </c>
      <c r="B7" t="s">
        <v>407</v>
      </c>
      <c r="C7" t="s">
        <v>15</v>
      </c>
      <c r="D7" s="39">
        <v>17500</v>
      </c>
      <c r="E7" s="39">
        <v>0</v>
      </c>
      <c r="F7" s="39">
        <v>0</v>
      </c>
      <c r="G7" s="39">
        <v>0</v>
      </c>
      <c r="H7" s="63">
        <v>0</v>
      </c>
      <c r="I7" s="64">
        <v>0</v>
      </c>
      <c r="J7" s="65">
        <v>0</v>
      </c>
      <c r="K7" s="67">
        <v>0</v>
      </c>
      <c r="L7" s="67">
        <v>0</v>
      </c>
      <c r="M7" s="68">
        <v>0</v>
      </c>
      <c r="N7" s="64">
        <v>0</v>
      </c>
      <c r="O7" s="64">
        <v>0</v>
      </c>
      <c r="P7" s="65">
        <v>0</v>
      </c>
      <c r="Q7" s="39">
        <v>0</v>
      </c>
      <c r="R7" s="39">
        <v>0</v>
      </c>
    </row>
    <row r="8" spans="1:21" x14ac:dyDescent="0.35">
      <c r="A8" t="s">
        <v>404</v>
      </c>
      <c r="B8" t="s">
        <v>405</v>
      </c>
      <c r="C8" t="s">
        <v>20</v>
      </c>
      <c r="D8" s="39">
        <v>24500</v>
      </c>
      <c r="E8" s="39">
        <v>0</v>
      </c>
      <c r="F8" s="39">
        <v>0</v>
      </c>
      <c r="G8" s="39">
        <v>0</v>
      </c>
      <c r="H8" s="63">
        <v>0</v>
      </c>
      <c r="I8" s="64">
        <v>0</v>
      </c>
      <c r="J8" s="65">
        <v>0</v>
      </c>
      <c r="K8" s="39">
        <v>0</v>
      </c>
      <c r="L8" s="39">
        <v>0</v>
      </c>
      <c r="M8" s="39">
        <v>0</v>
      </c>
      <c r="N8" s="64">
        <v>0</v>
      </c>
      <c r="O8" s="64">
        <v>0</v>
      </c>
      <c r="P8" s="65">
        <v>0</v>
      </c>
      <c r="Q8" s="39">
        <v>0</v>
      </c>
      <c r="R8" s="39">
        <v>0</v>
      </c>
    </row>
    <row r="9" spans="1:21" x14ac:dyDescent="0.35">
      <c r="A9" t="s">
        <v>402</v>
      </c>
      <c r="B9" t="s">
        <v>403</v>
      </c>
      <c r="C9" t="s">
        <v>22</v>
      </c>
      <c r="D9" s="39">
        <v>27500</v>
      </c>
      <c r="E9" s="39">
        <v>0</v>
      </c>
      <c r="F9" s="39">
        <v>0</v>
      </c>
      <c r="G9" s="39">
        <v>0</v>
      </c>
      <c r="H9" s="63">
        <v>0</v>
      </c>
      <c r="I9" s="64">
        <v>0</v>
      </c>
      <c r="J9" s="65">
        <v>0</v>
      </c>
      <c r="K9" s="39">
        <v>0</v>
      </c>
      <c r="L9" s="39">
        <v>0</v>
      </c>
      <c r="M9" s="39">
        <v>0</v>
      </c>
      <c r="N9" s="64">
        <v>0</v>
      </c>
      <c r="O9" s="64">
        <v>0</v>
      </c>
      <c r="P9" s="65">
        <v>0</v>
      </c>
      <c r="Q9" s="39">
        <v>0</v>
      </c>
      <c r="R9" s="39">
        <v>0</v>
      </c>
    </row>
    <row r="10" spans="1:21" x14ac:dyDescent="0.35">
      <c r="A10" t="s">
        <v>26</v>
      </c>
      <c r="D10" s="39">
        <v>106500</v>
      </c>
      <c r="E10" s="39">
        <v>0</v>
      </c>
      <c r="F10" s="39">
        <v>0</v>
      </c>
      <c r="G10" s="39">
        <v>0</v>
      </c>
      <c r="H10" s="66">
        <v>0</v>
      </c>
      <c r="I10" s="67">
        <v>0</v>
      </c>
      <c r="J10" s="68">
        <v>0</v>
      </c>
      <c r="K10" s="39">
        <v>0</v>
      </c>
      <c r="L10" s="39">
        <v>0</v>
      </c>
      <c r="M10" s="39">
        <v>0</v>
      </c>
      <c r="N10" s="67">
        <v>0</v>
      </c>
      <c r="O10" s="67">
        <v>0</v>
      </c>
      <c r="P10" s="68">
        <v>0</v>
      </c>
      <c r="Q10" s="39">
        <v>0</v>
      </c>
      <c r="R10" s="39">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5AC0B1-ABB5-49E2-8C83-6C3EDF6021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Town_Edu Dashboard</vt:lpstr>
      <vt:lpstr>FinalAnalysis</vt:lpstr>
      <vt:lpstr>Sheet1</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NLMA Fees Management</cp:lastModifiedBy>
  <dcterms:created xsi:type="dcterms:W3CDTF">2024-08-09T09:49:15Z</dcterms:created>
  <dcterms:modified xsi:type="dcterms:W3CDTF">2025-03-28T08:43:13Z</dcterms:modified>
</cp:coreProperties>
</file>